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YoY Comparison" sheetId="2" state="visible" r:id="rId2"/>
    <sheet xmlns:r="http://schemas.openxmlformats.org/officeDocument/2006/relationships" name="Summary KPIs" sheetId="3" state="visible" r:id="rId3"/>
    <sheet xmlns:r="http://schemas.openxmlformats.org/officeDocument/2006/relationships" name="Observ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"/>
    <numFmt numFmtId="166" formatCode="0.0%"/>
    <numFmt numFmtId="167" formatCode="0.0%;[Red](0.0%)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8.5"/>
    </font>
    <font>
      <name val="Arial"/>
      <color rgb="00000000"/>
      <sz val="9"/>
    </font>
    <font>
      <name val="Arial"/>
      <color rgb="001F3864"/>
      <sz val="9"/>
    </font>
    <font>
      <name val="Arial"/>
      <b val="1"/>
      <color rgb="000E4174"/>
      <sz val="9"/>
    </font>
    <font>
      <name val="Arial"/>
      <b val="1"/>
      <color rgb="00375623"/>
      <sz val="9"/>
    </font>
    <font>
      <name val="Arial"/>
      <b val="1"/>
      <color rgb="00FFFFFF"/>
      <sz val="9"/>
    </font>
    <font>
      <name val="Arial"/>
      <b val="1"/>
      <color rgb="000E4174"/>
      <sz val="8.5"/>
    </font>
    <font>
      <name val="Arial"/>
      <color rgb="00375623"/>
      <sz val="9"/>
    </font>
    <font>
      <name val="Arial"/>
      <b val="1"/>
      <color rgb="00000000"/>
      <sz val="9"/>
    </font>
    <font>
      <name val="Arial"/>
      <i val="1"/>
      <color rgb="007A94B0"/>
      <sz val="8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7F32"/>
      <sz val="10"/>
    </font>
    <font>
      <name val="Arial"/>
      <i val="1"/>
      <color rgb="007A94B0"/>
      <sz val="8.5"/>
    </font>
    <font>
      <name val="Arial"/>
      <b val="1"/>
      <color rgb="00FFFFFF"/>
      <sz val="10"/>
    </font>
    <font>
      <name val="Arial"/>
      <b val="1"/>
      <color rgb="00375623"/>
      <sz val="10"/>
    </font>
  </fonts>
  <fills count="9">
    <fill>
      <patternFill/>
    </fill>
    <fill>
      <patternFill patternType="gray125"/>
    </fill>
    <fill>
      <patternFill patternType="solid">
        <fgColor rgb="000E4174"/>
      </patternFill>
    </fill>
    <fill>
      <patternFill patternType="solid">
        <fgColor rgb="00F0F4FA"/>
      </patternFill>
    </fill>
    <fill>
      <patternFill patternType="solid">
        <fgColor rgb="00FFF0E6"/>
      </patternFill>
    </fill>
    <fill>
      <patternFill patternType="solid">
        <fgColor rgb="00FFFDE7"/>
      </patternFill>
    </fill>
    <fill>
      <patternFill patternType="solid">
        <fgColor rgb="00DDEAF8"/>
      </patternFill>
    </fill>
    <fill>
      <patternFill patternType="solid">
        <fgColor rgb="00FFFFFF"/>
      </patternFill>
    </fill>
    <fill>
      <patternFill patternType="solid">
        <fgColor rgb="00FF7F32"/>
      </patternFill>
    </fill>
  </fills>
  <borders count="3">
    <border>
      <left/>
      <right/>
      <top/>
      <bottom/>
      <diagonal/>
    </border>
    <border>
      <bottom style="medium">
        <color rgb="000E4174"/>
      </bottom>
    </border>
    <border>
      <bottom style="thin">
        <color rgb="00D6E2F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49" fontId="3" fillId="3" borderId="0" applyAlignment="1" pivotButton="0" quotePrefix="0" xfId="0">
      <alignment horizontal="center" vertical="center"/>
    </xf>
    <xf numFmtId="1" fontId="3" fillId="3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right" vertical="center"/>
    </xf>
    <xf numFmtId="164" fontId="4" fillId="3" borderId="0" applyAlignment="1" pivotButton="0" quotePrefix="0" xfId="0">
      <alignment horizontal="right" vertical="center"/>
    </xf>
    <xf numFmtId="165" fontId="4" fillId="3" borderId="0" applyAlignment="1" pivotButton="0" quotePrefix="0" xfId="0">
      <alignment horizontal="right" vertical="center"/>
    </xf>
    <xf numFmtId="166" fontId="4" fillId="3" borderId="0" applyAlignment="1" pivotButton="0" quotePrefix="0" xfId="0">
      <alignment horizontal="right" vertical="center"/>
    </xf>
    <xf numFmtId="49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49" fontId="3" fillId="5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3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6" fontId="4" fillId="5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right" vertical="center"/>
    </xf>
    <xf numFmtId="164" fontId="6" fillId="6" borderId="0" applyAlignment="1" pivotButton="0" quotePrefix="0" xfId="0">
      <alignment horizontal="right" vertical="center"/>
    </xf>
    <xf numFmtId="165" fontId="6" fillId="6" borderId="0" applyAlignment="1" pivotButton="0" quotePrefix="0" xfId="0">
      <alignment horizontal="right" vertical="center"/>
    </xf>
    <xf numFmtId="166" fontId="6" fillId="6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3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6" fontId="6" fillId="4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3" fontId="9" fillId="7" borderId="0" applyAlignment="1" pivotButton="0" quotePrefix="0" xfId="0">
      <alignment horizontal="right" vertical="center"/>
    </xf>
    <xf numFmtId="167" fontId="10" fillId="7" borderId="0" applyAlignment="1" pivotButton="0" quotePrefix="0" xfId="0">
      <alignment horizontal="center" vertical="center"/>
    </xf>
    <xf numFmtId="164" fontId="9" fillId="7" borderId="0" applyAlignment="1" pivotButton="0" quotePrefix="0" xfId="0">
      <alignment horizontal="right" vertical="center"/>
    </xf>
    <xf numFmtId="165" fontId="9" fillId="7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/>
    </xf>
    <xf numFmtId="3" fontId="9" fillId="3" borderId="0" applyAlignment="1" pivotButton="0" quotePrefix="0" xfId="0">
      <alignment horizontal="right" vertical="center"/>
    </xf>
    <xf numFmtId="167" fontId="10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right" vertical="center"/>
    </xf>
    <xf numFmtId="165" fontId="9" fillId="3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center" vertical="center" wrapText="1"/>
    </xf>
    <xf numFmtId="167" fontId="10" fillId="6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3" fontId="13" fillId="7" borderId="0" applyAlignment="1" pivotButton="0" quotePrefix="0" xfId="0">
      <alignment horizontal="right" vertical="center"/>
    </xf>
    <xf numFmtId="3" fontId="14" fillId="7" borderId="0" applyAlignment="1" pivotButton="0" quotePrefix="0" xfId="0">
      <alignment horizontal="right" vertical="center"/>
    </xf>
    <xf numFmtId="3" fontId="3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165" fontId="13" fillId="3" borderId="0" applyAlignment="1" pivotButton="0" quotePrefix="0" xfId="0">
      <alignment horizontal="right" vertical="center"/>
    </xf>
    <xf numFmtId="165" fontId="14" fillId="3" borderId="0" applyAlignment="1" pivotButton="0" quotePrefix="0" xfId="0">
      <alignment horizontal="right" vertical="center"/>
    </xf>
    <xf numFmtId="165" fontId="3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left" vertical="center"/>
    </xf>
    <xf numFmtId="164" fontId="13" fillId="7" borderId="0" applyAlignment="1" pivotButton="0" quotePrefix="0" xfId="0">
      <alignment horizontal="right" vertical="center"/>
    </xf>
    <xf numFmtId="164" fontId="14" fillId="7" borderId="0" applyAlignment="1" pivotButton="0" quotePrefix="0" xfId="0">
      <alignment horizontal="right" vertical="center"/>
    </xf>
    <xf numFmtId="164" fontId="3" fillId="7" borderId="0" applyAlignment="1" pivotButton="0" quotePrefix="0" xfId="0">
      <alignment horizontal="right" vertical="center"/>
    </xf>
    <xf numFmtId="3" fontId="13" fillId="3" borderId="0" applyAlignment="1" pivotButton="0" quotePrefix="0" xfId="0">
      <alignment horizontal="right" vertical="center"/>
    </xf>
    <xf numFmtId="3" fontId="14" fillId="3" borderId="0" applyAlignment="1" pivotButton="0" quotePrefix="0" xfId="0">
      <alignment horizontal="right" vertical="center"/>
    </xf>
    <xf numFmtId="3" fontId="3" fillId="3" borderId="0" applyAlignment="1" pivotButton="0" quotePrefix="0" xfId="0">
      <alignment horizontal="right" vertical="center"/>
    </xf>
    <xf numFmtId="0" fontId="16" fillId="8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3" fontId="13" fillId="5" borderId="0" applyAlignment="1" pivotButton="0" quotePrefix="0" xfId="0">
      <alignment horizontal="right" vertical="center"/>
    </xf>
    <xf numFmtId="0" fontId="15" fillId="5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164" fontId="17" fillId="6" borderId="0" applyAlignment="1" pivotButton="0" quotePrefix="0" xfId="0">
      <alignment horizontal="right" vertical="center"/>
    </xf>
    <xf numFmtId="164" fontId="14" fillId="6" borderId="0" applyAlignment="1" pivotButton="0" quotePrefix="0" xfId="0">
      <alignment horizontal="right" vertical="center"/>
    </xf>
    <xf numFmtId="164" fontId="3" fillId="6" borderId="0" applyAlignment="1" pivotButton="0" quotePrefix="0" xfId="0">
      <alignment horizontal="right" vertical="center"/>
    </xf>
    <xf numFmtId="0" fontId="15" fillId="6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/>
    </xf>
    <xf numFmtId="0" fontId="3" fillId="7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5A80"/>
    <outlinePr summaryBelow="1" summaryRight="1"/>
    <pageSetUpPr/>
  </sheetPr>
  <dimension ref="A2:P2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9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4" customWidth="1" min="10" max="10"/>
    <col width="16" customWidth="1" min="11" max="11"/>
    <col width="14" customWidth="1" min="12" max="12"/>
    <col width="14" customWidth="1" min="13" max="13"/>
    <col width="10" customWidth="1" min="14" max="14"/>
    <col width="10" customWidth="1" min="15" max="15"/>
    <col width="10" customWidth="1" min="16" max="16"/>
  </cols>
  <sheetData>
    <row r="1" ht="8" customHeight="1"/>
    <row r="2" ht="34" customHeight="1">
      <c r="A2" s="1" t="inlineStr">
        <is>
          <t>Raw Data — Monthly Aggregates | Retained Cohort SGN 2025–2026</t>
        </is>
      </c>
    </row>
    <row r="3" ht="34" customHeight="1">
      <c r="A3" s="2" t="inlineStr">
        <is>
          <t>Year</t>
        </is>
      </c>
      <c r="B3" s="2" t="inlineStr">
        <is>
          <t>Mo</t>
        </is>
      </c>
      <c r="C3" s="2" t="inlineStr">
        <is>
          <t>Tháng</t>
        </is>
      </c>
      <c r="D3" s="2" t="inlineStr">
        <is>
          <t>Drivers
(unique)</t>
        </is>
      </c>
      <c r="E3" s="2" t="inlineStr">
        <is>
          <t>Total Online
Hours</t>
        </is>
      </c>
      <c r="F3" s="2" t="inlineStr">
        <is>
          <t>Total
STP</t>
        </is>
      </c>
      <c r="G3" s="2" t="inlineStr">
        <is>
          <t>Total Income
(VND)</t>
        </is>
      </c>
      <c r="H3" s="2" t="inlineStr">
        <is>
          <t>Order Income
(VND)</t>
        </is>
      </c>
      <c r="I3" s="2" t="inlineStr">
        <is>
          <t>Reward Income
(VND)</t>
        </is>
      </c>
      <c r="J3" s="2" t="inlineStr">
        <is>
          <t>Avg OH/
Driver</t>
        </is>
      </c>
      <c r="K3" s="2" t="inlineStr">
        <is>
          <t>Avg Income/
Driver</t>
        </is>
      </c>
      <c r="L3" s="2" t="inlineStr">
        <is>
          <t>Avg STP/
Driver</t>
        </is>
      </c>
      <c r="M3" s="2" t="inlineStr">
        <is>
          <t>EPH
(VND/hr)</t>
        </is>
      </c>
      <c r="N3" s="2" t="inlineStr">
        <is>
          <t>PPH
(STP/hr)</t>
        </is>
      </c>
      <c r="O3" s="2" t="inlineStr">
        <is>
          <t>Reward
%</t>
        </is>
      </c>
      <c r="P3" s="2" t="inlineStr">
        <is>
          <t>Avg
Rating</t>
        </is>
      </c>
    </row>
    <row r="4" ht="18" customHeight="1">
      <c r="A4" s="3" t="n">
        <v>2025</v>
      </c>
      <c r="B4" s="4" t="n">
        <v>1</v>
      </c>
      <c r="C4" s="3" t="inlineStr">
        <is>
          <t>Jan</t>
        </is>
      </c>
      <c r="D4" s="5" t="n">
        <v>7108</v>
      </c>
      <c r="E4" s="6" t="n">
        <v>763298.3800000007</v>
      </c>
      <c r="F4" s="5" t="n">
        <v>1113743</v>
      </c>
      <c r="G4" s="5" t="n">
        <v>38744854527</v>
      </c>
      <c r="H4" s="5" t="n">
        <v>37371205530</v>
      </c>
      <c r="I4" s="5" t="n">
        <v>1373648961</v>
      </c>
      <c r="J4" s="6" t="n">
        <v>107.3858159819922</v>
      </c>
      <c r="K4" s="5" t="n">
        <v>5450879.9278278</v>
      </c>
      <c r="L4" s="6" t="n">
        <v>156.6886606640405</v>
      </c>
      <c r="M4" s="5" t="n">
        <v>50759.77565549132</v>
      </c>
      <c r="N4" s="7" t="n">
        <v>1.45911877868783</v>
      </c>
      <c r="O4" s="8" t="n">
        <v>0.03545371321610589</v>
      </c>
      <c r="P4" s="7" t="n">
        <v>4.980102378011112</v>
      </c>
    </row>
    <row r="5" ht="18" customHeight="1">
      <c r="A5" s="3" t="n">
        <v>2025</v>
      </c>
      <c r="B5" s="4" t="n">
        <v>2</v>
      </c>
      <c r="C5" s="3" t="inlineStr">
        <is>
          <t>Feb</t>
        </is>
      </c>
      <c r="D5" s="5" t="n">
        <v>7313</v>
      </c>
      <c r="E5" s="6" t="n">
        <v>666080.2300000009</v>
      </c>
      <c r="F5" s="5" t="n">
        <v>914835</v>
      </c>
      <c r="G5" s="5" t="n">
        <v>27377729390</v>
      </c>
      <c r="H5" s="5" t="n">
        <v>26510835391</v>
      </c>
      <c r="I5" s="5" t="n">
        <v>866894000</v>
      </c>
      <c r="J5" s="6" t="n">
        <v>91.08166689457144</v>
      </c>
      <c r="K5" s="5" t="n">
        <v>3743707.013537536</v>
      </c>
      <c r="L5" s="6" t="n">
        <v>125.0970873786408</v>
      </c>
      <c r="M5" s="5" t="n">
        <v>41102.75032483694</v>
      </c>
      <c r="N5" s="7" t="n">
        <v>1.373460671547028</v>
      </c>
      <c r="O5" s="8" t="n">
        <v>0.03166420369092559</v>
      </c>
      <c r="P5" s="7" t="n">
        <v>4.984922001243008</v>
      </c>
    </row>
    <row r="6" ht="18" customHeight="1">
      <c r="A6" s="3" t="n">
        <v>2025</v>
      </c>
      <c r="B6" s="4" t="n">
        <v>3</v>
      </c>
      <c r="C6" s="3" t="inlineStr">
        <is>
          <t>Mar</t>
        </is>
      </c>
      <c r="D6" s="5" t="n">
        <v>7648</v>
      </c>
      <c r="E6" s="6" t="n">
        <v>847163.5299999989</v>
      </c>
      <c r="F6" s="5" t="n">
        <v>1062720</v>
      </c>
      <c r="G6" s="5" t="n">
        <v>31863662127</v>
      </c>
      <c r="H6" s="5" t="n">
        <v>30845517338</v>
      </c>
      <c r="I6" s="5" t="n">
        <v>1018144791</v>
      </c>
      <c r="J6" s="6" t="n">
        <v>110.7692900104601</v>
      </c>
      <c r="K6" s="5" t="n">
        <v>4166273.813676778</v>
      </c>
      <c r="L6" s="6" t="n">
        <v>138.9539748953975</v>
      </c>
      <c r="M6" s="5" t="n">
        <v>37612.17403563164</v>
      </c>
      <c r="N6" s="7" t="n">
        <v>1.254444935796518</v>
      </c>
      <c r="O6" s="8" t="n">
        <v>0.0319531630401411</v>
      </c>
      <c r="P6" s="7" t="n">
        <v>4.983273271956739</v>
      </c>
    </row>
    <row r="7" ht="18" customHeight="1">
      <c r="A7" s="3" t="n">
        <v>2025</v>
      </c>
      <c r="B7" s="4" t="n">
        <v>4</v>
      </c>
      <c r="C7" s="3" t="inlineStr">
        <is>
          <t>Apr</t>
        </is>
      </c>
      <c r="D7" s="5" t="n">
        <v>7593</v>
      </c>
      <c r="E7" s="6" t="n">
        <v>812942.5700000039</v>
      </c>
      <c r="F7" s="5" t="n">
        <v>1024689</v>
      </c>
      <c r="G7" s="5" t="n">
        <v>31120138746</v>
      </c>
      <c r="H7" s="5" t="n">
        <v>30229824186</v>
      </c>
      <c r="I7" s="5" t="n">
        <v>890314560</v>
      </c>
      <c r="J7" s="6" t="n">
        <v>107.0647398920063</v>
      </c>
      <c r="K7" s="5" t="n">
        <v>4098530.060055314</v>
      </c>
      <c r="L7" s="6" t="n">
        <v>134.9517977084157</v>
      </c>
      <c r="M7" s="5" t="n">
        <v>38280.85758382643</v>
      </c>
      <c r="N7" s="7" t="n">
        <v>1.260469112842738</v>
      </c>
      <c r="O7" s="8" t="n">
        <v>0.02860895214082025</v>
      </c>
      <c r="P7" s="7" t="n">
        <v>4.981862522150022</v>
      </c>
    </row>
    <row r="8" ht="18" customHeight="1">
      <c r="A8" s="3" t="n">
        <v>2025</v>
      </c>
      <c r="B8" s="4" t="n">
        <v>5</v>
      </c>
      <c r="C8" s="3" t="inlineStr">
        <is>
          <t>May</t>
        </is>
      </c>
      <c r="D8" s="5" t="n">
        <v>7994</v>
      </c>
      <c r="E8" s="6" t="n">
        <v>858155.6399999975</v>
      </c>
      <c r="F8" s="5" t="n">
        <v>1134559</v>
      </c>
      <c r="G8" s="5" t="n">
        <v>34344362864</v>
      </c>
      <c r="H8" s="5" t="n">
        <v>33178419655</v>
      </c>
      <c r="I8" s="5" t="n">
        <v>1165943209</v>
      </c>
      <c r="J8" s="6" t="n">
        <v>107.3499674756064</v>
      </c>
      <c r="K8" s="5" t="n">
        <v>4296267.558669002</v>
      </c>
      <c r="L8" s="6" t="n">
        <v>141.9263197398049</v>
      </c>
      <c r="M8" s="5" t="n">
        <v>40021.13516844113</v>
      </c>
      <c r="N8" s="7" t="n">
        <v>1.322090011550822</v>
      </c>
      <c r="O8" s="8" t="n">
        <v>0.03394860500446639</v>
      </c>
      <c r="P8" s="7" t="n">
        <v>4.980459516446443</v>
      </c>
    </row>
    <row r="9" ht="18" customHeight="1">
      <c r="A9" s="3" t="n">
        <v>2025</v>
      </c>
      <c r="B9" s="4" t="n">
        <v>6</v>
      </c>
      <c r="C9" s="3" t="inlineStr">
        <is>
          <t>Jun</t>
        </is>
      </c>
      <c r="D9" s="5" t="n">
        <v>8266</v>
      </c>
      <c r="E9" s="6" t="n">
        <v>852957.720000002</v>
      </c>
      <c r="F9" s="5" t="n">
        <v>1116699</v>
      </c>
      <c r="G9" s="5" t="n">
        <v>34471971714</v>
      </c>
      <c r="H9" s="5" t="n">
        <v>32857232681</v>
      </c>
      <c r="I9" s="5" t="n">
        <v>1614739035</v>
      </c>
      <c r="J9" s="6" t="n">
        <v>103.1886910234699</v>
      </c>
      <c r="K9" s="5" t="n">
        <v>4170332.895475442</v>
      </c>
      <c r="L9" s="6" t="n">
        <v>135.0954512460682</v>
      </c>
      <c r="M9" s="5" t="n">
        <v>40414.6312363524</v>
      </c>
      <c r="N9" s="7" t="n">
        <v>1.309207917128644</v>
      </c>
      <c r="O9" s="8" t="n">
        <v>0.04684208516985441</v>
      </c>
      <c r="P9" s="7" t="n">
        <v>4.981279332689921</v>
      </c>
    </row>
    <row r="10" ht="18" customHeight="1">
      <c r="A10" s="3" t="n">
        <v>2025</v>
      </c>
      <c r="B10" s="4" t="n">
        <v>7</v>
      </c>
      <c r="C10" s="3" t="inlineStr">
        <is>
          <t>Jul</t>
        </is>
      </c>
      <c r="D10" s="5" t="n">
        <v>8654</v>
      </c>
      <c r="E10" s="6" t="n">
        <v>938482.3899999975</v>
      </c>
      <c r="F10" s="5" t="n">
        <v>1185192</v>
      </c>
      <c r="G10" s="5" t="n">
        <v>36079487944</v>
      </c>
      <c r="H10" s="5" t="n">
        <v>35020143456</v>
      </c>
      <c r="I10" s="5" t="n">
        <v>1059344497</v>
      </c>
      <c r="J10" s="6" t="n">
        <v>108.4449260457589</v>
      </c>
      <c r="K10" s="5" t="n">
        <v>4169111.155997227</v>
      </c>
      <c r="L10" s="6" t="n">
        <v>136.9530852784839</v>
      </c>
      <c r="M10" s="5" t="n">
        <v>38444.50181318809</v>
      </c>
      <c r="N10" s="7" t="n">
        <v>1.262881448420149</v>
      </c>
      <c r="O10" s="8" t="n">
        <v>0.02936140608880699</v>
      </c>
      <c r="P10" s="7" t="n">
        <v>4.979633808392709</v>
      </c>
    </row>
    <row r="11" ht="18" customHeight="1">
      <c r="A11" s="3" t="n">
        <v>2025</v>
      </c>
      <c r="B11" s="4" t="n">
        <v>8</v>
      </c>
      <c r="C11" s="3" t="inlineStr">
        <is>
          <t>Aug</t>
        </is>
      </c>
      <c r="D11" s="5" t="n">
        <v>8865</v>
      </c>
      <c r="E11" s="6" t="n">
        <v>935002.6399999969</v>
      </c>
      <c r="F11" s="5" t="n">
        <v>1308535</v>
      </c>
      <c r="G11" s="5" t="n">
        <v>39578559798</v>
      </c>
      <c r="H11" s="5" t="n">
        <v>38175283468</v>
      </c>
      <c r="I11" s="5" t="n">
        <v>1403276351</v>
      </c>
      <c r="J11" s="6" t="n">
        <v>105.4712509870273</v>
      </c>
      <c r="K11" s="5" t="n">
        <v>4464586.553637902</v>
      </c>
      <c r="L11" s="6" t="n">
        <v>147.6068809926678</v>
      </c>
      <c r="M11" s="5" t="n">
        <v>42329.89095945241</v>
      </c>
      <c r="N11" s="7" t="n">
        <v>1.399498722270992</v>
      </c>
      <c r="O11" s="8" t="n">
        <v>0.0354554677623947</v>
      </c>
      <c r="P11" s="7" t="n">
        <v>4.980143710292246</v>
      </c>
    </row>
    <row r="12" ht="18" customHeight="1">
      <c r="A12" s="3" t="n">
        <v>2025</v>
      </c>
      <c r="B12" s="4" t="n">
        <v>9</v>
      </c>
      <c r="C12" s="3" t="inlineStr">
        <is>
          <t>Sep</t>
        </is>
      </c>
      <c r="D12" s="5" t="n">
        <v>9237</v>
      </c>
      <c r="E12" s="6" t="n">
        <v>887981.8699999996</v>
      </c>
      <c r="F12" s="5" t="n">
        <v>1335865</v>
      </c>
      <c r="G12" s="5" t="n">
        <v>41760666018</v>
      </c>
      <c r="H12" s="5" t="n">
        <v>40461107828</v>
      </c>
      <c r="I12" s="5" t="n">
        <v>1299558208</v>
      </c>
      <c r="J12" s="6" t="n">
        <v>96.13314604308755</v>
      </c>
      <c r="K12" s="5" t="n">
        <v>4521020.463137383</v>
      </c>
      <c r="L12" s="6" t="n">
        <v>144.621089098192</v>
      </c>
      <c r="M12" s="5" t="n">
        <v>47028.73721734884</v>
      </c>
      <c r="N12" s="7" t="n">
        <v>1.504383191967647</v>
      </c>
      <c r="O12" s="8" t="n">
        <v>0.0311191925780076</v>
      </c>
      <c r="P12" s="7" t="n">
        <v>4.979176585843738</v>
      </c>
    </row>
    <row r="13" ht="18" customHeight="1">
      <c r="A13" s="3" t="n">
        <v>2025</v>
      </c>
      <c r="B13" s="4" t="n">
        <v>10</v>
      </c>
      <c r="C13" s="3" t="inlineStr">
        <is>
          <t>Oct</t>
        </is>
      </c>
      <c r="D13" s="5" t="n">
        <v>9858</v>
      </c>
      <c r="E13" s="6" t="n">
        <v>994828.3300000004</v>
      </c>
      <c r="F13" s="5" t="n">
        <v>1440012</v>
      </c>
      <c r="G13" s="5" t="n">
        <v>45539660593</v>
      </c>
      <c r="H13" s="5" t="n">
        <v>44258245327</v>
      </c>
      <c r="I13" s="5" t="n">
        <v>1281415296</v>
      </c>
      <c r="J13" s="6" t="n">
        <v>100.9158378981538</v>
      </c>
      <c r="K13" s="5" t="n">
        <v>4619563.866200041</v>
      </c>
      <c r="L13" s="6" t="n">
        <v>146.0754716981132</v>
      </c>
      <c r="M13" s="5" t="n">
        <v>45776.40103292996</v>
      </c>
      <c r="N13" s="7" t="n">
        <v>1.44749798188799</v>
      </c>
      <c r="O13" s="8" t="n">
        <v>0.0281384463413627</v>
      </c>
      <c r="P13" s="7" t="n">
        <v>4.976812841688957</v>
      </c>
    </row>
    <row r="14" ht="18" customHeight="1">
      <c r="A14" s="3" t="n">
        <v>2025</v>
      </c>
      <c r="B14" s="4" t="n">
        <v>11</v>
      </c>
      <c r="C14" s="3" t="inlineStr">
        <is>
          <t>Nov</t>
        </is>
      </c>
      <c r="D14" s="5" t="n">
        <v>10662</v>
      </c>
      <c r="E14" s="6" t="n">
        <v>1018364.859999997</v>
      </c>
      <c r="F14" s="5" t="n">
        <v>1496313</v>
      </c>
      <c r="G14" s="5" t="n">
        <v>47701625861</v>
      </c>
      <c r="H14" s="5" t="n">
        <v>46263210972</v>
      </c>
      <c r="I14" s="5" t="n">
        <v>1438414905</v>
      </c>
      <c r="J14" s="6" t="n">
        <v>95.51349277809017</v>
      </c>
      <c r="K14" s="5" t="n">
        <v>4473984.792815607</v>
      </c>
      <c r="L14" s="6" t="n">
        <v>140.3407428249859</v>
      </c>
      <c r="M14" s="5" t="n">
        <v>46841.3902861889</v>
      </c>
      <c r="N14" s="7" t="n">
        <v>1.469328979006605</v>
      </c>
      <c r="O14" s="8" t="n">
        <v>0.03015442092459206</v>
      </c>
      <c r="P14" s="7" t="n">
        <v>4.976239672131139</v>
      </c>
    </row>
    <row r="15" ht="18" customHeight="1">
      <c r="A15" s="3" t="n">
        <v>2025</v>
      </c>
      <c r="B15" s="4" t="n">
        <v>12</v>
      </c>
      <c r="C15" s="3" t="inlineStr">
        <is>
          <t>Dec</t>
        </is>
      </c>
      <c r="D15" s="5" t="n">
        <v>12873</v>
      </c>
      <c r="E15" s="6" t="n">
        <v>1227786.969999997</v>
      </c>
      <c r="F15" s="5" t="n">
        <v>1781684</v>
      </c>
      <c r="G15" s="5" t="n">
        <v>56443285160</v>
      </c>
      <c r="H15" s="5" t="n">
        <v>54071092307</v>
      </c>
      <c r="I15" s="5" t="n">
        <v>2372192866</v>
      </c>
      <c r="J15" s="6" t="n">
        <v>95.37691058805225</v>
      </c>
      <c r="K15" s="5" t="n">
        <v>4384625.585333644</v>
      </c>
      <c r="L15" s="6" t="n">
        <v>138.4047230637769</v>
      </c>
      <c r="M15" s="5" t="n">
        <v>45971.56228168813</v>
      </c>
      <c r="N15" s="7" t="n">
        <v>1.451134474899994</v>
      </c>
      <c r="O15" s="8" t="n">
        <v>0.0420279021548008</v>
      </c>
      <c r="P15" s="7" t="n">
        <v>4.974922432629273</v>
      </c>
    </row>
    <row r="16" ht="8" customHeight="1"/>
    <row r="17" ht="18" customHeight="1">
      <c r="A17" s="9" t="n">
        <v>2026</v>
      </c>
      <c r="B17" s="10" t="n">
        <v>1</v>
      </c>
      <c r="C17" s="9" t="inlineStr">
        <is>
          <t>Jan</t>
        </is>
      </c>
      <c r="D17" s="11" t="n">
        <v>12910</v>
      </c>
      <c r="E17" s="12" t="n">
        <v>1231446.669999996</v>
      </c>
      <c r="F17" s="11" t="n">
        <v>1801963</v>
      </c>
      <c r="G17" s="11" t="n">
        <v>57143412633</v>
      </c>
      <c r="H17" s="11" t="n">
        <v>55358457261</v>
      </c>
      <c r="I17" s="11" t="n">
        <v>1784955390</v>
      </c>
      <c r="J17" s="12" t="n">
        <v>95.38703872966661</v>
      </c>
      <c r="K17" s="11" t="n">
        <v>4426290.676452363</v>
      </c>
      <c r="L17" s="12" t="n">
        <v>139.578853601859</v>
      </c>
      <c r="M17" s="11" t="n">
        <v>46403.48138908864</v>
      </c>
      <c r="N17" s="13" t="n">
        <v>1.463289514599935</v>
      </c>
      <c r="O17" s="14" t="n">
        <v>0.03123641567338242</v>
      </c>
      <c r="P17" s="13" t="n">
        <v>4.977173789173786</v>
      </c>
    </row>
    <row r="18" ht="18" customHeight="1">
      <c r="A18" s="9" t="n">
        <v>2026</v>
      </c>
      <c r="B18" s="10" t="n">
        <v>2</v>
      </c>
      <c r="C18" s="9" t="inlineStr">
        <is>
          <t>Feb</t>
        </is>
      </c>
      <c r="D18" s="11" t="n">
        <v>10879</v>
      </c>
      <c r="E18" s="12" t="n">
        <v>765685.0599999996</v>
      </c>
      <c r="F18" s="11" t="n">
        <v>1217335</v>
      </c>
      <c r="G18" s="11" t="n">
        <v>45310077483</v>
      </c>
      <c r="H18" s="11" t="n">
        <v>44326397534</v>
      </c>
      <c r="I18" s="11" t="n">
        <v>983679948</v>
      </c>
      <c r="J18" s="12" t="n">
        <v>70.38193400128685</v>
      </c>
      <c r="K18" s="11" t="n">
        <v>4164911.984833165</v>
      </c>
      <c r="L18" s="12" t="n">
        <v>111.8976928026473</v>
      </c>
      <c r="M18" s="11" t="n">
        <v>59175.86727237439</v>
      </c>
      <c r="N18" s="13" t="n">
        <v>1.589863853422973</v>
      </c>
      <c r="O18" s="14" t="n">
        <v>0.02170995951991186</v>
      </c>
      <c r="P18" s="13" t="n">
        <v>4.975149260322365</v>
      </c>
    </row>
    <row r="19" ht="18" customHeight="1">
      <c r="A19" s="9" t="n">
        <v>2026</v>
      </c>
      <c r="B19" s="10" t="n">
        <v>3</v>
      </c>
      <c r="C19" s="9" t="inlineStr">
        <is>
          <t>Mar</t>
        </is>
      </c>
      <c r="D19" s="11" t="n">
        <v>10626</v>
      </c>
      <c r="E19" s="12" t="n">
        <v>978797.0700000012</v>
      </c>
      <c r="F19" s="11" t="n">
        <v>1460418</v>
      </c>
      <c r="G19" s="11" t="n">
        <v>46080106053</v>
      </c>
      <c r="H19" s="11" t="n">
        <v>44525970685</v>
      </c>
      <c r="I19" s="11" t="n">
        <v>1554135361</v>
      </c>
      <c r="J19" s="12" t="n">
        <v>92.11340767927736</v>
      </c>
      <c r="K19" s="11" t="n">
        <v>4336543.012704686</v>
      </c>
      <c r="L19" s="12" t="n">
        <v>137.438170525127</v>
      </c>
      <c r="M19" s="11" t="n">
        <v>47078.30403803716</v>
      </c>
      <c r="N19" s="13" t="n">
        <v>1.492053914709816</v>
      </c>
      <c r="O19" s="14" t="n">
        <v>0.03372681823285039</v>
      </c>
      <c r="P19" s="13" t="n">
        <v>4.980553590131501</v>
      </c>
    </row>
    <row r="20" ht="18" customHeight="1">
      <c r="A20" s="9" t="n">
        <v>2026</v>
      </c>
      <c r="B20" s="10" t="n">
        <v>4</v>
      </c>
      <c r="C20" s="9" t="inlineStr">
        <is>
          <t>Apr</t>
        </is>
      </c>
      <c r="D20" s="11" t="n">
        <v>9725</v>
      </c>
      <c r="E20" s="12" t="n">
        <v>913361.0700000001</v>
      </c>
      <c r="F20" s="11" t="n">
        <v>1376406</v>
      </c>
      <c r="G20" s="11" t="n">
        <v>41762966630</v>
      </c>
      <c r="H20" s="11" t="n">
        <v>40132358838</v>
      </c>
      <c r="I20" s="11" t="n">
        <v>1630607827</v>
      </c>
      <c r="J20" s="12" t="n">
        <v>93.91887609254499</v>
      </c>
      <c r="K20" s="11" t="n">
        <v>4294392.455526993</v>
      </c>
      <c r="L20" s="12" t="n">
        <v>141.5327506426735</v>
      </c>
      <c r="M20" s="11" t="n">
        <v>45724.48728299751</v>
      </c>
      <c r="N20" s="13" t="n">
        <v>1.506968104081773</v>
      </c>
      <c r="O20" s="14" t="n">
        <v>0.03904434858391189</v>
      </c>
      <c r="P20" s="13" t="n">
        <v>4.979762110616649</v>
      </c>
    </row>
    <row r="21" ht="18" customHeight="1">
      <c r="A21" s="9" t="n">
        <v>2026</v>
      </c>
      <c r="B21" s="10" t="n">
        <v>5</v>
      </c>
      <c r="C21" s="9" t="inlineStr">
        <is>
          <t>May</t>
        </is>
      </c>
      <c r="D21" s="11" t="n">
        <v>9303</v>
      </c>
      <c r="E21" s="12" t="n">
        <v>875974.8899999977</v>
      </c>
      <c r="F21" s="11" t="n">
        <v>1398982</v>
      </c>
      <c r="G21" s="11" t="n">
        <v>42049205531</v>
      </c>
      <c r="H21" s="11" t="n">
        <v>40787545460</v>
      </c>
      <c r="I21" s="11" t="n">
        <v>1261660072</v>
      </c>
      <c r="J21" s="12" t="n">
        <v>94.16047404063181</v>
      </c>
      <c r="K21" s="11" t="n">
        <v>4519961.897344942</v>
      </c>
      <c r="L21" s="12" t="n">
        <v>150.3796624744706</v>
      </c>
      <c r="M21" s="11" t="n">
        <v>48002.7521462403</v>
      </c>
      <c r="N21" s="13" t="n">
        <v>1.597057194185102</v>
      </c>
      <c r="O21" s="14" t="n">
        <v>0.03000437359202576</v>
      </c>
      <c r="P21" s="13" t="n">
        <v>4.978099054719742</v>
      </c>
    </row>
    <row r="22" ht="18" customHeight="1">
      <c r="A22" s="9" t="n">
        <v>2026</v>
      </c>
      <c r="B22" s="10" t="n">
        <v>6</v>
      </c>
      <c r="C22" s="9" t="inlineStr">
        <is>
          <t>Jun</t>
        </is>
      </c>
      <c r="D22" s="11" t="n">
        <v>8680</v>
      </c>
      <c r="E22" s="12" t="n">
        <v>854036.490000003</v>
      </c>
      <c r="F22" s="11" t="n">
        <v>1272704</v>
      </c>
      <c r="G22" s="11" t="n">
        <v>39453964866</v>
      </c>
      <c r="H22" s="11" t="n">
        <v>37903520754</v>
      </c>
      <c r="I22" s="11" t="n">
        <v>1550444112</v>
      </c>
      <c r="J22" s="12" t="n">
        <v>98.39130069124458</v>
      </c>
      <c r="K22" s="11" t="n">
        <v>4545387.657373272</v>
      </c>
      <c r="L22" s="12" t="n">
        <v>146.6248847926267</v>
      </c>
      <c r="M22" s="11" t="n">
        <v>46197.04816828127</v>
      </c>
      <c r="N22" s="13" t="n">
        <v>1.490222039575845</v>
      </c>
      <c r="O22" s="14" t="n">
        <v>0.03929754885892638</v>
      </c>
      <c r="P22" s="13" t="n">
        <v>4.981178527185129</v>
      </c>
    </row>
    <row r="23" ht="18" customHeight="1">
      <c r="A23" s="9" t="n">
        <v>2026</v>
      </c>
      <c r="B23" s="10" t="n">
        <v>7</v>
      </c>
      <c r="C23" s="9" t="inlineStr">
        <is>
          <t>Jul</t>
        </is>
      </c>
      <c r="D23" s="11" t="n">
        <v>8267</v>
      </c>
      <c r="E23" s="12" t="n">
        <v>857203.8100000011</v>
      </c>
      <c r="F23" s="11" t="n">
        <v>1213279</v>
      </c>
      <c r="G23" s="11" t="n">
        <v>36567635438</v>
      </c>
      <c r="H23" s="11" t="n">
        <v>35325531296</v>
      </c>
      <c r="I23" s="11" t="n">
        <v>1242104142</v>
      </c>
      <c r="J23" s="12" t="n">
        <v>103.6898282327327</v>
      </c>
      <c r="K23" s="11" t="n">
        <v>4423325.926938429</v>
      </c>
      <c r="L23" s="12" t="n">
        <v>146.7617031571308</v>
      </c>
      <c r="M23" s="11" t="n">
        <v>42659.20777696958</v>
      </c>
      <c r="N23" s="13" t="n">
        <v>1.415391515816989</v>
      </c>
      <c r="O23" s="14" t="n">
        <v>0.03396730817079965</v>
      </c>
      <c r="P23" s="13" t="n">
        <v>4.981624873901136</v>
      </c>
    </row>
    <row r="24" ht="18" customHeight="1">
      <c r="A24" s="9" t="n">
        <v>2026</v>
      </c>
      <c r="B24" s="10" t="n">
        <v>8</v>
      </c>
      <c r="C24" s="9" t="inlineStr">
        <is>
          <t>Aug</t>
        </is>
      </c>
      <c r="D24" s="11" t="n">
        <v>7800</v>
      </c>
      <c r="E24" s="12" t="n">
        <v>796226.8600000029</v>
      </c>
      <c r="F24" s="11" t="n">
        <v>1199712</v>
      </c>
      <c r="G24" s="11" t="n">
        <v>36217409319</v>
      </c>
      <c r="H24" s="11" t="n">
        <v>34890021842</v>
      </c>
      <c r="I24" s="11" t="n">
        <v>1327387477</v>
      </c>
      <c r="J24" s="12" t="n">
        <v>102.080366666667</v>
      </c>
      <c r="K24" s="11" t="n">
        <v>4643257.605</v>
      </c>
      <c r="L24" s="12" t="n">
        <v>153.8092307692308</v>
      </c>
      <c r="M24" s="11" t="n">
        <v>45486.29434455385</v>
      </c>
      <c r="N24" s="13" t="n">
        <v>1.506746456656832</v>
      </c>
      <c r="O24" s="14" t="n">
        <v>0.03665053635693483</v>
      </c>
      <c r="P24" s="13" t="n">
        <v>4.98422319374137</v>
      </c>
    </row>
    <row r="25" ht="18" customHeight="1">
      <c r="A25" s="15" t="n">
        <v>2026</v>
      </c>
      <c r="B25" s="16" t="n">
        <v>9</v>
      </c>
      <c r="C25" s="15" t="inlineStr">
        <is>
          <t>Sep</t>
        </is>
      </c>
      <c r="D25" s="17" t="n">
        <v>7077</v>
      </c>
      <c r="E25" s="18" t="n">
        <v>415695.3399999991</v>
      </c>
      <c r="F25" s="17" t="n">
        <v>656690</v>
      </c>
      <c r="G25" s="17" t="n">
        <v>22281282335</v>
      </c>
      <c r="H25" s="17" t="n">
        <v>21592250248</v>
      </c>
      <c r="I25" s="17" t="n">
        <v>689032087</v>
      </c>
      <c r="J25" s="18" t="n">
        <v>58.73892044651676</v>
      </c>
      <c r="K25" s="17" t="n">
        <v>3148407.84725166</v>
      </c>
      <c r="L25" s="18" t="n">
        <v>92.79214356365692</v>
      </c>
      <c r="M25" s="17" t="n">
        <v>53600.02913431757</v>
      </c>
      <c r="N25" s="19" t="n">
        <v>1.579738661491855</v>
      </c>
      <c r="O25" s="20" t="n">
        <v>0.03092425636192631</v>
      </c>
      <c r="P25" s="19" t="n">
        <v>4.985686445101792</v>
      </c>
    </row>
    <row r="26" ht="8" customHeight="1"/>
    <row r="27" ht="22" customHeight="1">
      <c r="A27" s="21" t="inlineStr">
        <is>
          <t>2025 Jan–Aug (8 months aggregate)</t>
        </is>
      </c>
      <c r="D27" s="22">
        <f>MAX(D4:D11)</f>
        <v/>
      </c>
      <c r="E27" s="23">
        <f>SUM(E4:E11)</f>
        <v/>
      </c>
      <c r="F27" s="22">
        <f>SUM(F4:F11)</f>
        <v/>
      </c>
      <c r="G27" s="22">
        <f>SUM(G4:G11)</f>
        <v/>
      </c>
      <c r="H27" s="22">
        <f>SUM(H4:H11)</f>
        <v/>
      </c>
      <c r="I27" s="22">
        <f>SUM(I4:I11)</f>
        <v/>
      </c>
      <c r="J27" s="23">
        <f>IFERROR(E27/SUM(D4:D11),0)</f>
        <v/>
      </c>
      <c r="K27" s="22">
        <f>IFERROR(G27/SUM(D4:D11),0)</f>
        <v/>
      </c>
      <c r="L27" s="23">
        <f>IFERROR(F27/SUM(D4:D11),0)</f>
        <v/>
      </c>
      <c r="M27" s="22">
        <f>IFERROR(G27/E27,0)</f>
        <v/>
      </c>
      <c r="N27" s="24">
        <f>IFERROR(F27/E27,0)</f>
        <v/>
      </c>
      <c r="O27" s="25">
        <f>IFERROR(I27/G27,0)</f>
        <v/>
      </c>
      <c r="P27" s="24">
        <f>AVERAGE(P4:P11)</f>
        <v/>
      </c>
    </row>
    <row r="28" ht="22" customHeight="1">
      <c r="A28" s="26" t="inlineStr">
        <is>
          <t>2026 Jan–Aug (8 months aggregate)</t>
        </is>
      </c>
      <c r="D28" s="27">
        <f>MAX(D17:D24)</f>
        <v/>
      </c>
      <c r="E28" s="28">
        <f>SUM(E17:E24)</f>
        <v/>
      </c>
      <c r="F28" s="27">
        <f>SUM(F17:F24)</f>
        <v/>
      </c>
      <c r="G28" s="27">
        <f>SUM(G17:G24)</f>
        <v/>
      </c>
      <c r="H28" s="27">
        <f>SUM(H17:H24)</f>
        <v/>
      </c>
      <c r="I28" s="27">
        <f>SUM(I17:I24)</f>
        <v/>
      </c>
      <c r="J28" s="28">
        <f>IFERROR(E28/SUM(D17:D24),0)</f>
        <v/>
      </c>
      <c r="K28" s="27">
        <f>IFERROR(G28/SUM(D17:D24),0)</f>
        <v/>
      </c>
      <c r="L28" s="28">
        <f>IFERROR(F28/SUM(D17:D24),0)</f>
        <v/>
      </c>
      <c r="M28" s="27">
        <f>IFERROR(G28/E28,0)</f>
        <v/>
      </c>
      <c r="N28" s="29">
        <f>IFERROR(F28/E28,0)</f>
        <v/>
      </c>
      <c r="O28" s="30">
        <f>IFERROR(I28/G28,0)</f>
        <v/>
      </c>
      <c r="P28" s="29">
        <f>AVERAGE(P17:P24)</f>
        <v/>
      </c>
    </row>
  </sheetData>
  <mergeCells count="3">
    <mergeCell ref="A28:C28"/>
    <mergeCell ref="A27:C27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32"/>
    <outlinePr summaryBelow="1" summaryRight="1"/>
    <pageSetUpPr/>
  </sheetPr>
  <dimension ref="A2:M1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11" customWidth="1" min="4" max="4"/>
    <col width="16" customWidth="1" min="5" max="5"/>
    <col width="16" customWidth="1" min="6" max="6"/>
    <col width="11" customWidth="1" min="7" max="7"/>
    <col width="16" customWidth="1" min="8" max="8"/>
    <col width="16" customWidth="1" min="9" max="9"/>
    <col width="11" customWidth="1" min="10" max="10"/>
    <col width="12" customWidth="1" min="11" max="11"/>
    <col width="12" customWidth="1" min="12" max="12"/>
    <col width="11" customWidth="1" min="13" max="13"/>
  </cols>
  <sheetData>
    <row r="1" ht="8" customHeight="1"/>
    <row r="2" ht="34" customHeight="1">
      <c r="A2" s="1" t="inlineStr">
        <is>
          <t>YoY Comparison — Cùng Tháng 2025 vs 2026 (Jan–Aug only)</t>
        </is>
      </c>
    </row>
    <row r="3" ht="8" customHeight="1"/>
    <row r="4" ht="22" customHeight="1">
      <c r="A4" s="31" t="inlineStr">
        <is>
          <t>Tháng</t>
        </is>
      </c>
      <c r="B4" s="31" t="inlineStr">
        <is>
          <t>EPH (VND/giờ)</t>
        </is>
      </c>
      <c r="E4" s="31" t="inlineStr">
        <is>
          <t>Giờ làm TB/Driver/tháng</t>
        </is>
      </c>
      <c r="H4" s="31" t="inlineStr">
        <is>
          <t>Thu nhập TB/Driver/tháng</t>
        </is>
      </c>
      <c r="K4" s="31" t="inlineStr">
        <is>
          <t>PPH (STP/giờ)</t>
        </is>
      </c>
      <c r="M4" s="31" t="inlineStr">
        <is>
          <t>Δ% PPH</t>
        </is>
      </c>
    </row>
    <row r="5" ht="28" customHeight="1">
      <c r="B5" s="32" t="inlineStr">
        <is>
          <t>2025</t>
        </is>
      </c>
      <c r="C5" s="33" t="inlineStr">
        <is>
          <t>2026</t>
        </is>
      </c>
      <c r="D5" s="34" t="inlineStr">
        <is>
          <t>Δ%</t>
        </is>
      </c>
      <c r="E5" s="32" t="inlineStr">
        <is>
          <t>2025</t>
        </is>
      </c>
      <c r="F5" s="33" t="inlineStr">
        <is>
          <t>2026</t>
        </is>
      </c>
      <c r="G5" s="34" t="inlineStr">
        <is>
          <t>Δ%</t>
        </is>
      </c>
      <c r="H5" s="32" t="inlineStr">
        <is>
          <t>2025</t>
        </is>
      </c>
      <c r="I5" s="33" t="inlineStr">
        <is>
          <t>2026</t>
        </is>
      </c>
      <c r="J5" s="34" t="inlineStr">
        <is>
          <t>Δ%</t>
        </is>
      </c>
      <c r="K5" s="32" t="inlineStr">
        <is>
          <t>2025</t>
        </is>
      </c>
      <c r="L5" s="33" t="inlineStr">
        <is>
          <t>2026</t>
        </is>
      </c>
    </row>
    <row r="6" ht="20" customHeight="1">
      <c r="A6" s="35" t="inlineStr">
        <is>
          <t>Jan</t>
        </is>
      </c>
      <c r="B6" s="36">
        <f>'Raw Data'!M4</f>
        <v/>
      </c>
      <c r="C6" s="36">
        <f>'Raw Data'!M17</f>
        <v/>
      </c>
      <c r="D6" s="37">
        <f>IFERROR((C6-B6)/ABS(B6),0)</f>
        <v/>
      </c>
      <c r="E6" s="38">
        <f>'Raw Data'!J4</f>
        <v/>
      </c>
      <c r="F6" s="38">
        <f>'Raw Data'!J17</f>
        <v/>
      </c>
      <c r="G6" s="37">
        <f>IFERROR((F6-E6)/ABS(E6),0)</f>
        <v/>
      </c>
      <c r="H6" s="36">
        <f>'Raw Data'!K4</f>
        <v/>
      </c>
      <c r="I6" s="36">
        <f>'Raw Data'!K17</f>
        <v/>
      </c>
      <c r="J6" s="37">
        <f>IFERROR((I6-H6)/ABS(H6),0)</f>
        <v/>
      </c>
      <c r="K6" s="39">
        <f>'Raw Data'!N4</f>
        <v/>
      </c>
      <c r="L6" s="39">
        <f>'Raw Data'!N17</f>
        <v/>
      </c>
      <c r="M6" s="37">
        <f>IFERROR((L6-K6)/ABS(K6),0)</f>
        <v/>
      </c>
    </row>
    <row r="7" ht="20" customHeight="1">
      <c r="A7" s="40" t="inlineStr">
        <is>
          <t>Feb</t>
        </is>
      </c>
      <c r="B7" s="41">
        <f>'Raw Data'!M5</f>
        <v/>
      </c>
      <c r="C7" s="41">
        <f>'Raw Data'!M18</f>
        <v/>
      </c>
      <c r="D7" s="42">
        <f>IFERROR((C7-B7)/ABS(B7),0)</f>
        <v/>
      </c>
      <c r="E7" s="43">
        <f>'Raw Data'!J5</f>
        <v/>
      </c>
      <c r="F7" s="43">
        <f>'Raw Data'!J18</f>
        <v/>
      </c>
      <c r="G7" s="42">
        <f>IFERROR((F7-E7)/ABS(E7),0)</f>
        <v/>
      </c>
      <c r="H7" s="41">
        <f>'Raw Data'!K5</f>
        <v/>
      </c>
      <c r="I7" s="41">
        <f>'Raw Data'!K18</f>
        <v/>
      </c>
      <c r="J7" s="42">
        <f>IFERROR((I7-H7)/ABS(H7),0)</f>
        <v/>
      </c>
      <c r="K7" s="44">
        <f>'Raw Data'!N5</f>
        <v/>
      </c>
      <c r="L7" s="44">
        <f>'Raw Data'!N18</f>
        <v/>
      </c>
      <c r="M7" s="42">
        <f>IFERROR((L7-K7)/ABS(K7),0)</f>
        <v/>
      </c>
    </row>
    <row r="8" ht="20" customHeight="1">
      <c r="A8" s="35" t="inlineStr">
        <is>
          <t>Mar</t>
        </is>
      </c>
      <c r="B8" s="36">
        <f>'Raw Data'!M6</f>
        <v/>
      </c>
      <c r="C8" s="36">
        <f>'Raw Data'!M19</f>
        <v/>
      </c>
      <c r="D8" s="37">
        <f>IFERROR((C8-B8)/ABS(B8),0)</f>
        <v/>
      </c>
      <c r="E8" s="38">
        <f>'Raw Data'!J6</f>
        <v/>
      </c>
      <c r="F8" s="38">
        <f>'Raw Data'!J19</f>
        <v/>
      </c>
      <c r="G8" s="37">
        <f>IFERROR((F8-E8)/ABS(E8),0)</f>
        <v/>
      </c>
      <c r="H8" s="36">
        <f>'Raw Data'!K6</f>
        <v/>
      </c>
      <c r="I8" s="36">
        <f>'Raw Data'!K19</f>
        <v/>
      </c>
      <c r="J8" s="37">
        <f>IFERROR((I8-H8)/ABS(H8),0)</f>
        <v/>
      </c>
      <c r="K8" s="39">
        <f>'Raw Data'!N6</f>
        <v/>
      </c>
      <c r="L8" s="39">
        <f>'Raw Data'!N19</f>
        <v/>
      </c>
      <c r="M8" s="37">
        <f>IFERROR((L8-K8)/ABS(K8),0)</f>
        <v/>
      </c>
    </row>
    <row r="9" ht="20" customHeight="1">
      <c r="A9" s="40" t="inlineStr">
        <is>
          <t>Apr</t>
        </is>
      </c>
      <c r="B9" s="41">
        <f>'Raw Data'!M7</f>
        <v/>
      </c>
      <c r="C9" s="41">
        <f>'Raw Data'!M20</f>
        <v/>
      </c>
      <c r="D9" s="42">
        <f>IFERROR((C9-B9)/ABS(B9),0)</f>
        <v/>
      </c>
      <c r="E9" s="43">
        <f>'Raw Data'!J7</f>
        <v/>
      </c>
      <c r="F9" s="43">
        <f>'Raw Data'!J20</f>
        <v/>
      </c>
      <c r="G9" s="42">
        <f>IFERROR((F9-E9)/ABS(E9),0)</f>
        <v/>
      </c>
      <c r="H9" s="41">
        <f>'Raw Data'!K7</f>
        <v/>
      </c>
      <c r="I9" s="41">
        <f>'Raw Data'!K20</f>
        <v/>
      </c>
      <c r="J9" s="42">
        <f>IFERROR((I9-H9)/ABS(H9),0)</f>
        <v/>
      </c>
      <c r="K9" s="44">
        <f>'Raw Data'!N7</f>
        <v/>
      </c>
      <c r="L9" s="44">
        <f>'Raw Data'!N20</f>
        <v/>
      </c>
      <c r="M9" s="42">
        <f>IFERROR((L9-K9)/ABS(K9),0)</f>
        <v/>
      </c>
    </row>
    <row r="10" ht="20" customHeight="1">
      <c r="A10" s="35" t="inlineStr">
        <is>
          <t>May</t>
        </is>
      </c>
      <c r="B10" s="36">
        <f>'Raw Data'!M8</f>
        <v/>
      </c>
      <c r="C10" s="36">
        <f>'Raw Data'!M21</f>
        <v/>
      </c>
      <c r="D10" s="37">
        <f>IFERROR((C10-B10)/ABS(B10),0)</f>
        <v/>
      </c>
      <c r="E10" s="38">
        <f>'Raw Data'!J8</f>
        <v/>
      </c>
      <c r="F10" s="38">
        <f>'Raw Data'!J21</f>
        <v/>
      </c>
      <c r="G10" s="37">
        <f>IFERROR((F10-E10)/ABS(E10),0)</f>
        <v/>
      </c>
      <c r="H10" s="36">
        <f>'Raw Data'!K8</f>
        <v/>
      </c>
      <c r="I10" s="36">
        <f>'Raw Data'!K21</f>
        <v/>
      </c>
      <c r="J10" s="37">
        <f>IFERROR((I10-H10)/ABS(H10),0)</f>
        <v/>
      </c>
      <c r="K10" s="39">
        <f>'Raw Data'!N8</f>
        <v/>
      </c>
      <c r="L10" s="39">
        <f>'Raw Data'!N21</f>
        <v/>
      </c>
      <c r="M10" s="37">
        <f>IFERROR((L10-K10)/ABS(K10),0)</f>
        <v/>
      </c>
    </row>
    <row r="11" ht="20" customHeight="1">
      <c r="A11" s="40" t="inlineStr">
        <is>
          <t>Jun</t>
        </is>
      </c>
      <c r="B11" s="41">
        <f>'Raw Data'!M9</f>
        <v/>
      </c>
      <c r="C11" s="41">
        <f>'Raw Data'!M22</f>
        <v/>
      </c>
      <c r="D11" s="42">
        <f>IFERROR((C11-B11)/ABS(B11),0)</f>
        <v/>
      </c>
      <c r="E11" s="43">
        <f>'Raw Data'!J9</f>
        <v/>
      </c>
      <c r="F11" s="43">
        <f>'Raw Data'!J22</f>
        <v/>
      </c>
      <c r="G11" s="42">
        <f>IFERROR((F11-E11)/ABS(E11),0)</f>
        <v/>
      </c>
      <c r="H11" s="41">
        <f>'Raw Data'!K9</f>
        <v/>
      </c>
      <c r="I11" s="41">
        <f>'Raw Data'!K22</f>
        <v/>
      </c>
      <c r="J11" s="42">
        <f>IFERROR((I11-H11)/ABS(H11),0)</f>
        <v/>
      </c>
      <c r="K11" s="44">
        <f>'Raw Data'!N9</f>
        <v/>
      </c>
      <c r="L11" s="44">
        <f>'Raw Data'!N22</f>
        <v/>
      </c>
      <c r="M11" s="42">
        <f>IFERROR((L11-K11)/ABS(K11),0)</f>
        <v/>
      </c>
    </row>
    <row r="12" ht="20" customHeight="1">
      <c r="A12" s="35" t="inlineStr">
        <is>
          <t>Jul</t>
        </is>
      </c>
      <c r="B12" s="36">
        <f>'Raw Data'!M10</f>
        <v/>
      </c>
      <c r="C12" s="36">
        <f>'Raw Data'!M23</f>
        <v/>
      </c>
      <c r="D12" s="37">
        <f>IFERROR((C12-B12)/ABS(B12),0)</f>
        <v/>
      </c>
      <c r="E12" s="38">
        <f>'Raw Data'!J10</f>
        <v/>
      </c>
      <c r="F12" s="38">
        <f>'Raw Data'!J23</f>
        <v/>
      </c>
      <c r="G12" s="37">
        <f>IFERROR((F12-E12)/ABS(E12),0)</f>
        <v/>
      </c>
      <c r="H12" s="36">
        <f>'Raw Data'!K10</f>
        <v/>
      </c>
      <c r="I12" s="36">
        <f>'Raw Data'!K23</f>
        <v/>
      </c>
      <c r="J12" s="37">
        <f>IFERROR((I12-H12)/ABS(H12),0)</f>
        <v/>
      </c>
      <c r="K12" s="39">
        <f>'Raw Data'!N10</f>
        <v/>
      </c>
      <c r="L12" s="39">
        <f>'Raw Data'!N23</f>
        <v/>
      </c>
      <c r="M12" s="37">
        <f>IFERROR((L12-K12)/ABS(K12),0)</f>
        <v/>
      </c>
    </row>
    <row r="13" ht="20" customHeight="1">
      <c r="A13" s="40" t="inlineStr">
        <is>
          <t>Aug</t>
        </is>
      </c>
      <c r="B13" s="41">
        <f>'Raw Data'!M11</f>
        <v/>
      </c>
      <c r="C13" s="41">
        <f>'Raw Data'!M24</f>
        <v/>
      </c>
      <c r="D13" s="42">
        <f>IFERROR((C13-B13)/ABS(B13),0)</f>
        <v/>
      </c>
      <c r="E13" s="43">
        <f>'Raw Data'!J11</f>
        <v/>
      </c>
      <c r="F13" s="43">
        <f>'Raw Data'!J24</f>
        <v/>
      </c>
      <c r="G13" s="42">
        <f>IFERROR((F13-E13)/ABS(E13),0)</f>
        <v/>
      </c>
      <c r="H13" s="41">
        <f>'Raw Data'!K11</f>
        <v/>
      </c>
      <c r="I13" s="41">
        <f>'Raw Data'!K24</f>
        <v/>
      </c>
      <c r="J13" s="42">
        <f>IFERROR((I13-H13)/ABS(H13),0)</f>
        <v/>
      </c>
      <c r="K13" s="44">
        <f>'Raw Data'!N11</f>
        <v/>
      </c>
      <c r="L13" s="44">
        <f>'Raw Data'!N24</f>
        <v/>
      </c>
      <c r="M13" s="42">
        <f>IFERROR((L13-K13)/ABS(K13),0)</f>
        <v/>
      </c>
    </row>
    <row r="14" ht="24" customHeight="1">
      <c r="A14" s="45" t="inlineStr">
        <is>
          <t>Jan–Aug
Avg</t>
        </is>
      </c>
      <c r="B14" s="22">
        <f>IFERROR(SUMPRODUCT('Raw Data'!G4:G11)/SUMPRODUCT('Raw Data'!E4:E11),0)</f>
        <v/>
      </c>
      <c r="C14" s="22">
        <f>IFERROR(SUMPRODUCT('Raw Data'!G17:G24)/SUMPRODUCT('Raw Data'!E17:E24),0)</f>
        <v/>
      </c>
      <c r="D14" s="46">
        <f>IFERROR((C14-B14)/ABS(B14),0)</f>
        <v/>
      </c>
      <c r="E14" s="23">
        <f>IFERROR(SUMPRODUCT('Raw Data'!E4:E11)/SUMPRODUCT('Raw Data'!D4:D11),0)</f>
        <v/>
      </c>
      <c r="F14" s="23">
        <f>IFERROR(SUMPRODUCT('Raw Data'!E17:E24)/SUMPRODUCT('Raw Data'!D17:D24),0)</f>
        <v/>
      </c>
      <c r="G14" s="46">
        <f>IFERROR((F14-E14)/ABS(E14),0)</f>
        <v/>
      </c>
      <c r="H14" s="22">
        <f>IFERROR(SUMPRODUCT('Raw Data'!G4:G11)/SUMPRODUCT('Raw Data'!D4:D11),0)</f>
        <v/>
      </c>
      <c r="I14" s="22">
        <f>IFERROR(SUMPRODUCT('Raw Data'!G17:G24)/SUMPRODUCT('Raw Data'!D17:D24),0)</f>
        <v/>
      </c>
      <c r="J14" s="46">
        <f>IFERROR((I14-H14)/ABS(H14),0)</f>
        <v/>
      </c>
      <c r="K14" s="24">
        <f>IFERROR(SUMPRODUCT('Raw Data'!F4:F11)/SUMPRODUCT('Raw Data'!E4:E11),0)</f>
        <v/>
      </c>
      <c r="L14" s="24">
        <f>IFERROR(SUMPRODUCT('Raw Data'!F17:F24)/SUMPRODUCT('Raw Data'!E17:E24),0)</f>
        <v/>
      </c>
      <c r="M14" s="46">
        <f>IFERROR((L14-K14)/ABS(K14),0)</f>
        <v/>
      </c>
    </row>
    <row r="16">
      <c r="A16" s="47" t="inlineStr">
        <is>
          <t>* Sep 2026 partial (18/30 ngày) — bị loại khỏi bảng này để không bias khi so với Sep 2025 full tháng.</t>
        </is>
      </c>
    </row>
  </sheetData>
  <mergeCells count="8">
    <mergeCell ref="M4:M5"/>
    <mergeCell ref="A4:A5"/>
    <mergeCell ref="B4:D4"/>
    <mergeCell ref="H4:J4"/>
    <mergeCell ref="E4:G4"/>
    <mergeCell ref="K4:L4"/>
    <mergeCell ref="A16:M16"/>
    <mergeCell ref="A2:M2"/>
  </mergeCells>
  <conditionalFormatting sqref="D6:D14">
    <cfRule type="colorScale" priority="1">
      <colorScale>
        <cfvo type="min"/>
        <cfvo type="num" val="0"/>
        <cfvo type="max"/>
        <color rgb="00FFCCCC"/>
        <color rgb="00FFFFFF"/>
        <color rgb="00C6EFCE"/>
      </colorScale>
    </cfRule>
  </conditionalFormatting>
  <conditionalFormatting sqref="G6:G14">
    <cfRule type="colorScale" priority="2">
      <colorScale>
        <cfvo type="min"/>
        <cfvo type="num" val="0"/>
        <cfvo type="max"/>
        <color rgb="00FFCCCC"/>
        <color rgb="00FFFFFF"/>
        <color rgb="00C6EFCE"/>
      </colorScale>
    </cfRule>
  </conditionalFormatting>
  <conditionalFormatting sqref="J6:J14">
    <cfRule type="colorScale" priority="3">
      <colorScale>
        <cfvo type="min"/>
        <cfvo type="num" val="0"/>
        <cfvo type="max"/>
        <color rgb="00FFCCCC"/>
        <color rgb="00FFFFFF"/>
        <color rgb="00C6EFCE"/>
      </colorScale>
    </cfRule>
  </conditionalFormatting>
  <conditionalFormatting sqref="M6:M14">
    <cfRule type="colorScale" priority="4">
      <colorScale>
        <cfvo type="min"/>
        <cfvo type="num" val="0"/>
        <cfvo type="max"/>
        <color rgb="00FFCCCC"/>
        <color rgb="00FFFFFF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4174"/>
    <outlinePr summaryBelow="1" summaryRight="1"/>
    <pageSetUpPr/>
  </sheetPr>
  <dimension ref="A2:F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50" customWidth="1" min="6" max="6"/>
  </cols>
  <sheetData>
    <row r="1" ht="8" customHeight="1"/>
    <row r="2" ht="36" customHeight="1">
      <c r="A2" s="48" t="inlineStr">
        <is>
          <t>Summary KPIs — Retained Driver SGN | Jan–Aug YoY (2025 vs 2026)</t>
        </is>
      </c>
    </row>
    <row r="3" ht="8" customHeight="1"/>
    <row r="4" ht="28" customHeight="1">
      <c r="A4" s="49" t="inlineStr">
        <is>
          <t>KPI</t>
        </is>
      </c>
      <c r="B4" s="49" t="inlineStr">
        <is>
          <t>2025 (Jan–Aug)</t>
        </is>
      </c>
      <c r="C4" s="49" t="inlineStr">
        <is>
          <t>2026 (Jan–Aug)</t>
        </is>
      </c>
      <c r="D4" s="49" t="inlineStr">
        <is>
          <t>Δ (abs)</t>
        </is>
      </c>
      <c r="E4" s="49" t="inlineStr">
        <is>
          <t>Δ %</t>
        </is>
      </c>
      <c r="F4" s="49" t="inlineStr">
        <is>
          <t>Nhận định</t>
        </is>
      </c>
    </row>
    <row r="5" ht="22" customHeight="1">
      <c r="A5" s="50" t="inlineStr">
        <is>
          <t>EPH — VND/giờ (weighted avg)</t>
        </is>
      </c>
      <c r="B5" s="51">
        <f>'YoY Comparison'!B14</f>
        <v/>
      </c>
      <c r="C5" s="52">
        <f>'YoY Comparison'!C14</f>
        <v/>
      </c>
      <c r="D5" s="53">
        <f>C5-B5</f>
        <v/>
      </c>
      <c r="E5" s="37">
        <f>IFERROR((C5-B5)/ABS(B5),0)</f>
        <v/>
      </c>
      <c r="F5" s="54" t="inlineStr">
        <is>
          <t>↑ Tài xế kiếm tiền hiệu quả hơn mỗi giờ làm việc</t>
        </is>
      </c>
    </row>
    <row r="6" ht="22" customHeight="1">
      <c r="A6" s="55" t="inlineStr">
        <is>
          <t>PPH — Stops/giờ (weighted avg)</t>
        </is>
      </c>
      <c r="B6" s="56">
        <f>'YoY Comparison'!K14</f>
        <v/>
      </c>
      <c r="C6" s="57">
        <f>'YoY Comparison'!L14</f>
        <v/>
      </c>
      <c r="D6" s="58">
        <f>C6-B6</f>
        <v/>
      </c>
      <c r="E6" s="42">
        <f>IFERROR((C6-B6)/ABS(B6),0)</f>
        <v/>
      </c>
      <c r="F6" s="59" t="inlineStr">
        <is>
          <t>↑ Năng suất giao hàng thực chất tăng, không phải do incentive</t>
        </is>
      </c>
    </row>
    <row r="7" ht="22" customHeight="1">
      <c r="A7" s="50" t="inlineStr">
        <is>
          <t>Giờ làm TB/driver/tháng (driver-weighted)</t>
        </is>
      </c>
      <c r="B7" s="60">
        <f>'YoY Comparison'!E14</f>
        <v/>
      </c>
      <c r="C7" s="61">
        <f>'YoY Comparison'!F14</f>
        <v/>
      </c>
      <c r="D7" s="62">
        <f>C7-B7</f>
        <v/>
      </c>
      <c r="E7" s="37">
        <f>IFERROR((C7-B7)/ABS(B7),0)</f>
        <v/>
      </c>
      <c r="F7" s="54" t="inlineStr">
        <is>
          <t>↓ Driver cần ít giờ hơn → flexibility &amp; work-life balance tốt hơn</t>
        </is>
      </c>
    </row>
    <row r="8" ht="22" customHeight="1">
      <c r="A8" s="55" t="inlineStr">
        <is>
          <t>Thu nhập TB/driver/tháng (VND)</t>
        </is>
      </c>
      <c r="B8" s="63">
        <f>'YoY Comparison'!H14</f>
        <v/>
      </c>
      <c r="C8" s="64">
        <f>'YoY Comparison'!I14</f>
        <v/>
      </c>
      <c r="D8" s="65">
        <f>C8-B8</f>
        <v/>
      </c>
      <c r="E8" s="42">
        <f>IFERROR((C8-B8)/ABS(B8),0)</f>
        <v/>
      </c>
      <c r="F8" s="59" t="inlineStr">
        <is>
          <t>→ Thu nhập ổn định, driver không bị thiệt khi giảm giờ</t>
        </is>
      </c>
    </row>
    <row r="9" ht="22" customHeight="1">
      <c r="A9" s="50" t="inlineStr">
        <is>
          <t>Total supply hours (Jan–Aug fleet)</t>
        </is>
      </c>
      <c r="B9" s="51">
        <f>SUMPRODUCT('Raw Data'!E4:E11)</f>
        <v/>
      </c>
      <c r="C9" s="52">
        <f>SUMPRODUCT('Raw Data'!E17:E24)</f>
        <v/>
      </c>
      <c r="D9" s="53">
        <f>C9-B9</f>
        <v/>
      </c>
      <c r="E9" s="37">
        <f>IFERROR((C9-B9)/ABS(B9),0)</f>
        <v/>
      </c>
      <c r="F9" s="54" t="inlineStr">
        <is>
          <t>↑ Fleet lớn hơn bù offset cho hour/driver giảm → supply vẫn tăng</t>
        </is>
      </c>
    </row>
    <row r="10" ht="22" customHeight="1">
      <c r="A10" s="55" t="inlineStr">
        <is>
          <t>Tổng STP hoàn thành (Jan–Aug)</t>
        </is>
      </c>
      <c r="B10" s="63">
        <f>SUMPRODUCT('Raw Data'!F4:F11)</f>
        <v/>
      </c>
      <c r="C10" s="64">
        <f>SUMPRODUCT('Raw Data'!F17:F24)</f>
        <v/>
      </c>
      <c r="D10" s="65">
        <f>C10-B10</f>
        <v/>
      </c>
      <c r="E10" s="42">
        <f>IFERROR((C10-B10)/ABS(B10),0)</f>
        <v/>
      </c>
      <c r="F10" s="59" t="inlineStr">
        <is>
          <t>→ Volume đơn hàng tương đương/tăng nhẹ</t>
        </is>
      </c>
    </row>
    <row r="11" ht="22" customHeight="1">
      <c r="A11" s="50" t="inlineStr">
        <is>
          <t>Tổng thu nhập fleet (VND, Jan–Aug)</t>
        </is>
      </c>
      <c r="B11" s="51">
        <f>SUMPRODUCT('Raw Data'!G4:G11)</f>
        <v/>
      </c>
      <c r="C11" s="52">
        <f>SUMPRODUCT('Raw Data'!G17:G24)</f>
        <v/>
      </c>
      <c r="D11" s="53">
        <f>C11-B11</f>
        <v/>
      </c>
      <c r="E11" s="37">
        <f>IFERROR((C11-B11)/ABS(B11),0)</f>
        <v/>
      </c>
      <c r="F11" s="54" t="inlineStr">
        <is>
          <t>↑ Tổng payout tăng do fleet lớn hơn</t>
        </is>
      </c>
    </row>
    <row r="12" ht="10" customHeight="1"/>
    <row r="13" ht="24" customHeight="1">
      <c r="A13" s="66" t="inlineStr">
        <is>
          <t>Efficiency Hypothesis — Giờ cần làm để đạt Target Income 13,000,000 VND/tháng</t>
        </is>
      </c>
    </row>
    <row r="14" ht="20" customHeight="1">
      <c r="A14" s="67" t="inlineStr">
        <is>
          <t>Target income/tháng (VND) — input</t>
        </is>
      </c>
      <c r="B14" s="68" t="n">
        <v>13000000</v>
      </c>
      <c r="C14" s="69" t="inlineStr">
        <is>
          <t>≈ 500,000 VND/ngày × 26 ngày | Ô màu vàng = input, thay đổi số này để recalc tự động</t>
        </is>
      </c>
    </row>
    <row r="15" ht="20" customHeight="1">
      <c r="A15" s="70" t="inlineStr">
        <is>
          <t>Giờ cần làm — 2025</t>
        </is>
      </c>
      <c r="B15" s="71">
        <f>IFERROR(B14/B5,0)</f>
        <v/>
      </c>
      <c r="C15" s="72">
        <f>IFERROR(B14/C5,0)</f>
        <v/>
      </c>
      <c r="D15" s="73">
        <f>C15-B15</f>
        <v/>
      </c>
      <c r="E15" s="46">
        <f>IFERROR((C15-B15)/ABS(B15),0)</f>
        <v/>
      </c>
      <c r="F15" s="74" t="inlineStr">
        <is>
          <t>Savings: 2026 tiết kiệm ~42–43 giờ/tháng (~13.5%) để đạt cùng target income</t>
        </is>
      </c>
    </row>
    <row r="17" ht="16" customHeight="1">
      <c r="A17" s="47" t="inlineStr">
        <is>
          <t>Quy ước màu:  Xanh đậm = hardcode input  |  Cam = 2026  |  Xanh lá = cross-sheet formula  |  Nền vàng = input thay đổi được  |  Nền đỏ nhạt = giảm</t>
        </is>
      </c>
    </row>
  </sheetData>
  <mergeCells count="5">
    <mergeCell ref="A2:F2"/>
    <mergeCell ref="A13:F13"/>
    <mergeCell ref="F15"/>
    <mergeCell ref="A17:F17"/>
    <mergeCell ref="C14:F14"/>
  </mergeCells>
  <conditionalFormatting sqref="E5:E11">
    <cfRule type="colorScale" priority="1">
      <colorScale>
        <cfvo type="min"/>
        <cfvo type="num" val="0"/>
        <cfvo type="max"/>
        <color rgb="00FFCCCC"/>
        <color rgb="00FFFFFF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B981"/>
    <outlinePr summaryBelow="1" summaryRight="1"/>
    <pageSetUpPr/>
  </sheetPr>
  <dimension ref="A2:B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90" customWidth="1" min="2" max="2"/>
  </cols>
  <sheetData>
    <row r="1" ht="8" customHeight="1"/>
    <row r="2" ht="34" customHeight="1">
      <c r="A2" s="1" t="inlineStr">
        <is>
          <t>Nhận Định Phân Tích &amp; Điểm Cần Theo Dõi</t>
        </is>
      </c>
    </row>
    <row r="4" ht="24" customHeight="1">
      <c r="A4" s="75" t="inlineStr">
        <is>
          <t>✅ HYPOTHESIS CONFIRMED</t>
        </is>
      </c>
    </row>
    <row r="5" ht="56" customHeight="1">
      <c r="A5" s="76" t="inlineStr">
        <is>
          <t>EPH tăng +15.6% (Jan–Aug avg)</t>
        </is>
      </c>
      <c r="B5" s="77" t="inlineStr">
        <is>
          <t>Retained driver earn 47,380 VND/giờ năm 2026 vs 40,992 VND/giờ năm 2025. Đây là EPH weighted (income/hours), phản ánh thu nhập thực sự tài xế nhận được trên mỗi giờ làm việc. Kết hợp với PPH +13.3% → tăng hiệu quả là thực chất (nhiều đơn hơn/giờ), không phải do reward giả tạo.</t>
        </is>
      </c>
    </row>
    <row r="6" ht="42" customHeight="1">
      <c r="A6" s="76" t="inlineStr">
        <is>
          <t>Giờ làm giảm −11.6%/driver</t>
        </is>
      </c>
      <c r="B6" s="77" t="inlineStr">
        <is>
          <t>Driver cần trung bình 93.0 giờ/tháng (2026) vs 105.2 giờ (2025). Thu nhập avg +2.2% (4,407k vs 4,312k) → driver không bị thiệt. Họ chủ động giảm giờ vì cần ít effort hơn để đạt cùng mức thu nhập → flexibility tăng.</t>
        </is>
      </c>
    </row>
    <row r="7" ht="42" customHeight="1">
      <c r="A7" s="76" t="inlineStr">
        <is>
          <t>Target 13M VND/tháng: tiết kiệm 42.8 giờ (−13.5%)</t>
        </is>
      </c>
      <c r="B7" s="77" t="inlineStr">
        <is>
          <t>2025: cần ~317h/tháng để đạt 13M VND. 2026: chỉ cần ~274h/tháng — tương đương tiết kiệm 1.5 giờ/ngày. Driver có thể làm part-time nhiều hơn, hoặc giữ target thu nhập với ít effort hơn → retention tự nhiên tăng.</t>
        </is>
      </c>
    </row>
    <row r="8" ht="42" customHeight="1">
      <c r="A8" s="76" t="inlineStr">
        <is>
          <t>Total supply hours fleet tăng +9.0%</t>
        </is>
      </c>
      <c r="B8" s="77" t="inlineStr">
        <is>
          <t>6.67M → 7.27M giờ (Jan–Aug). Supply không giảm vì fleet lớn hơn: unique driver count +40% (11,231 → 15,731). Hiệu ứng composition: per-driver hours giảm nhưng số lượng driver tăng mạnh bù lại. Retained cohort đang ngày càng lớn hơn qua từng năm.</t>
        </is>
      </c>
    </row>
    <row r="10" ht="24" customHeight="1">
      <c r="A10" s="66" t="inlineStr">
        <is>
          <t>⚠️ ĐIỂM CẦN THEO DÕI</t>
        </is>
      </c>
    </row>
    <row r="11" ht="70" customHeight="1">
      <c r="A11" s="76" t="inlineStr">
        <is>
          <t>Jan 2026: EPH thấp hơn Jan 2025 (−8.6%)</t>
        </is>
      </c>
      <c r="B11" s="77" t="inlineStr">
        <is>
          <t>Tháng duy nhất EPH 2026 &lt; 2025 trong Jan–Aug: 46,403 vs 50,760 VND/hr. Cần check: (1) Incentive structure đầu năm 2026 có thay đổi không? (2) Tỷ lệ NIM (driver mới vào sau Tết) cao → EPH thấp là bình thường. (3) Volume Tết 2026 vs 2025 — Tết 2026 sớm hơn, có thể Jan 2025 benefited from pre-Tết surge. Action: kiểm tra incentive_log Jan 2026 và breakdown NIM vs retained trong tháng này.</t>
        </is>
      </c>
    </row>
    <row r="12" ht="42" customHeight="1">
      <c r="A12" s="76" t="inlineStr">
        <is>
          <t>EPH hội tụ về 2025 từ Q3 2026</t>
        </is>
      </c>
      <c r="B12" s="77" t="inlineStr">
        <is>
          <t>Khoảng cách YoY đang thu hẹp: Jun +14.3% → Jul +11.0% → Aug +7.5%. Nếu trend này tiếp tục, Q4 2026 EPH có thể quay về ngang 2025 → driver phải tăng giờ trở lại. Action: Monitor Sep–Oct 2026 weekly. Set alert nếu EPH Δ% &lt; +5%.</t>
        </is>
      </c>
    </row>
    <row r="13" ht="42" customHeight="1">
      <c r="A13" s="76" t="inlineStr">
        <is>
          <t>Giờ làm/driver hội tụ trong Q3</t>
        </is>
      </c>
      <c r="B13" s="77" t="inlineStr">
        <is>
          <t>Hours reduction từ Feb–May rất mạnh (Feb: −22.7%, Mar: −16.8%) nhưng từ Jun về sau giảm ít hơn (Jun: −4.6%, Jul: −4.4%, Aug: −3.2%). Possible cause: effect của restructure incentive đang tắt dần sau 2 quý. Cần confirm bằng data Q4.</t>
        </is>
      </c>
    </row>
    <row r="14" ht="42" customHeight="1">
      <c r="A14" s="76" t="inlineStr">
        <is>
          <t>Sep 2026 partial month (18/30 ngày)</t>
        </is>
      </c>
      <c r="B14" s="77" t="inlineStr">
        <is>
          <t>Sep 2026 chỉ có data đến 2026-09-18. EPH Sep = 53,600 (full extrapolation chưa chắc). Không đưa vào YoY table. Khi tháng kết thúc (Sep 30), cần refresh file với data đầy đủ.</t>
        </is>
      </c>
    </row>
    <row r="16" ht="24" customHeight="1">
      <c r="A16" s="75" t="inlineStr">
        <is>
          <t>📋 PHƯƠNG PHÁP LUẬN</t>
        </is>
      </c>
    </row>
    <row r="17" ht="42" customHeight="1">
      <c r="A17" s="76" t="inlineStr">
        <is>
          <t>Retained cohort definition</t>
        </is>
      </c>
      <c r="B17" s="77" t="inlineStr">
        <is>
          <t>Retained driver = supplier_id có stp_complete &gt; 0 trong ÍT NHẤT 1 ngày của năm 2025 VÀ ÍT NHẤT 1 ngày của năm 2026. Metric: JOIN trên supplier_id giữa 2 năm, không yêu cầu active liên tục.</t>
        </is>
      </c>
    </row>
    <row r="18" ht="42" customHeight="1">
      <c r="A18" s="76" t="inlineStr">
        <is>
          <t>Vehicle &amp; supplier filter</t>
        </is>
      </c>
      <c r="B18" s="77" t="inlineStr">
        <is>
          <t>MOTORBIKE + EV-BIKE. Loại trừ: ahamove_ka_lazada, VNM-WH-DELIVERY, VNM-WH-VENDOR, SALESFORCE tags. City: SGN only (city_id = SGN từ raw_supplier_profile). partitioned_create_time &gt;= 2010-01-01 để loại account test.</t>
        </is>
      </c>
    </row>
    <row r="19" ht="42" customHeight="1">
      <c r="A19" s="76" t="inlineStr">
        <is>
          <t>EPH = Total Income / Online Hours</t>
        </is>
      </c>
      <c r="B19" s="77" t="inlineStr">
        <is>
          <t>Total income = order_income + reward_income_pit1_5 (đã net thuế TNCN 1.5%). Online hours từ bảng ops_suppliers_online_hours (daily aggregates). EPH trong file này là weighted average (sum income / sum hours), không phải trung bình số học.</t>
        </is>
      </c>
    </row>
    <row r="20" ht="42" customHeight="1">
      <c r="A20" s="76" t="inlineStr">
        <is>
          <t>Nguồn data</t>
        </is>
      </c>
      <c r="B20" s="77" t="inlineStr">
        <is>
          <t>ahamove_archive_ops.fct_supplier_performance + ahamove_archive.ops_suppliers_online_hours. Query ngày: 2026-09-18. 191,338 driver-month records. 15,825 unique suppliers trong cohort.</t>
        </is>
      </c>
    </row>
    <row r="22">
      <c r="A22" s="47" t="inlineStr">
        <is>
          <t>File: 2026-09-retained-driver-yoy.xlsx | Built: 2026-09-18 | Data: Metabase BigQuery</t>
        </is>
      </c>
    </row>
  </sheetData>
  <mergeCells count="5">
    <mergeCell ref="A4:B4"/>
    <mergeCell ref="A16:B16"/>
    <mergeCell ref="A2:B2"/>
    <mergeCell ref="A10:B10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2026-09-18T05:27:02Z</dcterms:created>
  <dcterms:modified xmlns:dcterms="http://purl.org/dc/terms/" xmlns:xsi="http://www.w3.org/2001/XMLSchema-instance" xsi:type="dcterms:W3CDTF">2026-09-18T05:27:02Z</dcterms:modified>
</cp:coreProperties>
</file>