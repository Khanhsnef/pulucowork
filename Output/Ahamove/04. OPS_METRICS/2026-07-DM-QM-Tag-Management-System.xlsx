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TAG_REQUESTS" sheetId="1" state="visible" r:id="rId1"/>
    <sheet xmlns:r="http://schemas.openxmlformats.org/officeDocument/2006/relationships" name="02_DM_LEAD_REVIEW_CONSOLE" sheetId="2" state="visible" r:id="rId2"/>
    <sheet xmlns:r="http://schemas.openxmlformats.org/officeDocument/2006/relationships" name="03_QM_HANDOVER_QUEUE" sheetId="3" state="visible" r:id="rId3"/>
    <sheet xmlns:r="http://schemas.openxmlformats.org/officeDocument/2006/relationships" name="04_TAG_DICTIONAR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6534"/>
      <sz val="10"/>
    </font>
    <font>
      <name val="Arial"/>
      <b val="1"/>
      <color rgb="00991B1B"/>
      <sz val="10"/>
    </font>
    <font>
      <name val="Arial"/>
      <b val="1"/>
      <color rgb="003730A3"/>
      <sz val="10"/>
    </font>
    <font>
      <name val="Arial"/>
      <b val="1"/>
      <color rgb="0092400E"/>
      <sz val="10"/>
    </font>
    <font>
      <name val="Arial"/>
      <b val="1"/>
      <sz val="10"/>
    </font>
    <font>
      <name val="Arial"/>
      <b val="1"/>
      <color rgb="000F766E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7" customWidth="1" min="4" max="4"/>
    <col width="22" customWidth="1" min="5" max="5"/>
    <col width="30" customWidth="1" min="6" max="6"/>
    <col width="15" customWidth="1" min="7" max="7"/>
    <col width="55" customWidth="1" min="8" max="8"/>
    <col width="35" customWidth="1" min="9" max="9"/>
    <col width="16" customWidth="1" min="10" max="10"/>
    <col width="20" customWidth="1" min="11" max="11"/>
    <col width="17" customWidth="1" min="12" max="12"/>
    <col width="49" customWidth="1" min="13" max="13"/>
    <col width="26" customWidth="1" min="14" max="14"/>
    <col width="24" customWidth="1" min="15" max="15"/>
    <col width="17" customWidth="1" min="16" max="16"/>
    <col width="20" customWidth="1" min="17" max="17"/>
    <col width="25" customWidth="1" min="18" max="18"/>
    <col width="21" customWidth="1" min="19" max="19"/>
    <col width="24" customWidth="1" min="20" max="20"/>
    <col width="39" customWidth="1" min="21" max="21"/>
  </cols>
  <sheetData>
    <row r="1">
      <c r="A1" s="1" t="inlineStr">
        <is>
          <t>HỆ THỐNG QUẢN LÝ &amp; ĐỀ XUẤT TAG TÀI XẾ - MASTER REQUEST TRACKER</t>
        </is>
      </c>
    </row>
    <row r="2">
      <c r="A2" s="2" t="inlineStr">
        <is>
          <t>Quy trình 3 bước: Requesting Team Submission -&gt; DM Review &amp; Enrich -&gt; QM Tag Execution</t>
        </is>
      </c>
    </row>
    <row r="3"/>
    <row r="4" ht="28" customHeight="1">
      <c r="A4" s="3" t="inlineStr">
        <is>
          <t>Mã Request</t>
        </is>
      </c>
      <c r="B4" s="3" t="inlineStr">
        <is>
          <t>Ngày Tạo</t>
        </is>
      </c>
      <c r="C4" s="3" t="inlineStr">
        <is>
          <t>Team Đề Xuất</t>
        </is>
      </c>
      <c r="D4" s="3" t="inlineStr">
        <is>
          <t>Người Đề Xuất</t>
        </is>
      </c>
      <c r="E4" s="3" t="inlineStr">
        <is>
          <t>Loại Tag</t>
        </is>
      </c>
      <c r="F4" s="3" t="inlineStr">
        <is>
          <t>Tên Tag Yêu Cầu</t>
        </is>
      </c>
      <c r="G4" s="3" t="inlineStr">
        <is>
          <t>Số Lượng TX</t>
        </is>
      </c>
      <c r="H4" s="3" t="inlineStr">
        <is>
          <t>Lý Do Kinh Doanh / Mục Tiêu</t>
        </is>
      </c>
      <c r="I4" s="3" t="inlineStr">
        <is>
          <t>Thời Gian Áp Dụng</t>
        </is>
      </c>
      <c r="J4" s="4" t="inlineStr">
        <is>
          <t>DM Reviewer</t>
        </is>
      </c>
      <c r="K4" s="4" t="inlineStr">
        <is>
          <t>Ngày DM Review</t>
        </is>
      </c>
      <c r="L4" s="4" t="inlineStr">
        <is>
          <t>DM Quyết Định</t>
        </is>
      </c>
      <c r="M4" s="4" t="inlineStr">
        <is>
          <t>Lý Do Tuần Thủ / Từ Chối</t>
        </is>
      </c>
      <c r="N4" s="4" t="inlineStr">
        <is>
          <t>DM Tag Code Chuẩn</t>
        </is>
      </c>
      <c r="O4" s="4" t="inlineStr">
        <is>
          <t>Trạng Thái Chuyển QM</t>
        </is>
      </c>
      <c r="P4" s="5" t="inlineStr">
        <is>
          <t>QM Specialist</t>
        </is>
      </c>
      <c r="Q4" s="5" t="inlineStr">
        <is>
          <t>Ngày QM Nhận</t>
        </is>
      </c>
      <c r="R4" s="5" t="inlineStr">
        <is>
          <t>QM Trạng Thái Add Tag</t>
        </is>
      </c>
      <c r="S4" s="5" t="inlineStr">
        <is>
          <t>Ngày Add Tag Xong</t>
        </is>
      </c>
      <c r="T4" s="5" t="inlineStr">
        <is>
          <t>Số TX Add Thành Công</t>
        </is>
      </c>
      <c r="U4" s="5" t="inlineStr">
        <is>
          <t>Ghi Chú QM / Batch ID</t>
        </is>
      </c>
    </row>
    <row r="5" ht="22" customHeight="1">
      <c r="A5" s="6" t="inlineStr">
        <is>
          <t>REQ-2026-001</t>
        </is>
      </c>
      <c r="B5" s="6" t="inlineStr">
        <is>
          <t>2026-07-25 09:00</t>
        </is>
      </c>
      <c r="C5" s="7" t="inlineStr">
        <is>
          <t>Business Ops</t>
        </is>
      </c>
      <c r="D5" s="7" t="inlineStr">
        <is>
          <t>Nguyễn Văn A</t>
        </is>
      </c>
      <c r="E5" s="7" t="inlineStr">
        <is>
          <t>Priority Dispatch</t>
        </is>
      </c>
      <c r="F5" s="7" t="inlineStr">
        <is>
          <t>TAG_HUB_LH_OFFLOAD_VIP</t>
        </is>
      </c>
      <c r="G5" s="8" t="n">
        <v>150</v>
      </c>
      <c r="H5" s="7" t="inlineStr">
        <is>
          <t>Ưu tiên phát đơn liên vùng tuyến SOC Củ Chi</t>
        </is>
      </c>
      <c r="I5" s="7" t="inlineStr">
        <is>
          <t>2026-08-01 đến 2026-08-31</t>
        </is>
      </c>
      <c r="J5" s="6" t="inlineStr">
        <is>
          <t>Trần Lead DM</t>
        </is>
      </c>
      <c r="K5" s="6" t="inlineStr">
        <is>
          <t>2026-07-25 11:30</t>
        </is>
      </c>
      <c r="L5" s="9" t="inlineStr">
        <is>
          <t>APPROVED</t>
        </is>
      </c>
      <c r="M5" s="7" t="inlineStr">
        <is>
          <t>Đạt chuẩn SLA &amp; Không có driver vi phạm fraud</t>
        </is>
      </c>
      <c r="N5" s="7" t="inlineStr">
        <is>
          <t>DM_TAG_HUB_LH_VIP_V1</t>
        </is>
      </c>
      <c r="O5" s="6" t="inlineStr">
        <is>
          <t>READY_FOR_QM</t>
        </is>
      </c>
      <c r="P5" s="6" t="inlineStr">
        <is>
          <t>Lê QM Spec</t>
        </is>
      </c>
      <c r="Q5" s="6" t="inlineStr">
        <is>
          <t>2026-07-25 13:00</t>
        </is>
      </c>
      <c r="R5" s="9" t="inlineStr">
        <is>
          <t>TAGGED_SUCCESS</t>
        </is>
      </c>
      <c r="S5" s="6" t="inlineStr">
        <is>
          <t>2026-07-25 14:15</t>
        </is>
      </c>
      <c r="T5" s="8" t="n">
        <v>150</v>
      </c>
      <c r="U5" s="7" t="inlineStr">
        <is>
          <t>BATCH_QM_88412 - Succ 100%</t>
        </is>
      </c>
    </row>
    <row r="6" ht="22" customHeight="1">
      <c r="A6" s="6" t="inlineStr">
        <is>
          <t>REQ-2026-002</t>
        </is>
      </c>
      <c r="B6" s="6" t="inlineStr">
        <is>
          <t>2026-07-26 10:15</t>
        </is>
      </c>
      <c r="C6" s="7" t="inlineStr">
        <is>
          <t>Marketing</t>
        </is>
      </c>
      <c r="D6" s="7" t="inlineStr">
        <is>
          <t>Phạm Thị B</t>
        </is>
      </c>
      <c r="E6" s="7" t="inlineStr">
        <is>
          <t>Incentive Campaign</t>
        </is>
      </c>
      <c r="F6" s="7" t="inlineStr">
        <is>
          <t>TAG_MAR_PEAK_BONUS_20K</t>
        </is>
      </c>
      <c r="G6" s="8" t="n">
        <v>450</v>
      </c>
      <c r="H6" s="7" t="inlineStr">
        <is>
          <t>Thưởng nóng tài xế chạy ca tối 18h-22h</t>
        </is>
      </c>
      <c r="I6" s="7" t="inlineStr">
        <is>
          <t>2026-07-28 đến 2026-07-30</t>
        </is>
      </c>
      <c r="J6" s="6" t="inlineStr">
        <is>
          <t>Trần Lead DM</t>
        </is>
      </c>
      <c r="K6" s="6" t="inlineStr">
        <is>
          <t>2026-07-26 14:00</t>
        </is>
      </c>
      <c r="L6" s="9" t="inlineStr">
        <is>
          <t>APPROVED</t>
        </is>
      </c>
      <c r="M6" s="7" t="inlineStr">
        <is>
          <t>Đã chốt ngân sách Marketing với BI</t>
        </is>
      </c>
      <c r="N6" s="7" t="inlineStr">
        <is>
          <t>DM_TAG_BONUS_NIGHT_20K</t>
        </is>
      </c>
      <c r="O6" s="6" t="inlineStr">
        <is>
          <t>READY_FOR_QM</t>
        </is>
      </c>
      <c r="P6" s="6" t="inlineStr">
        <is>
          <t>Lê QM Spec</t>
        </is>
      </c>
      <c r="Q6" s="6" t="inlineStr">
        <is>
          <t>2026-07-26 15:30</t>
        </is>
      </c>
      <c r="R6" s="9" t="inlineStr">
        <is>
          <t>TAGGED_SUCCESS</t>
        </is>
      </c>
      <c r="S6" s="6" t="inlineStr">
        <is>
          <t>2026-07-26 16:45</t>
        </is>
      </c>
      <c r="T6" s="8" t="n">
        <v>448</v>
      </c>
      <c r="U6" s="7" t="inlineStr">
        <is>
          <t>BATCH_QM_88425 - 2 TX sai số ĐT</t>
        </is>
      </c>
    </row>
    <row r="7" ht="22" customHeight="1">
      <c r="A7" s="6" t="inlineStr">
        <is>
          <t>REQ-2026-003</t>
        </is>
      </c>
      <c r="B7" s="6" t="inlineStr">
        <is>
          <t>2026-07-27 14:20</t>
        </is>
      </c>
      <c r="C7" s="7" t="inlineStr">
        <is>
          <t>Hub Operations</t>
        </is>
      </c>
      <c r="D7" s="7" t="inlineStr">
        <is>
          <t>Hoàng Văn C</t>
        </is>
      </c>
      <c r="E7" s="7" t="inlineStr">
        <is>
          <t>Area Restriction</t>
        </is>
      </c>
      <c r="F7" s="7" t="inlineStr">
        <is>
          <t>TAG_ZONE_RESTRICT_TAN_BINH</t>
        </is>
      </c>
      <c r="G7" s="8" t="n">
        <v>85</v>
      </c>
      <c r="H7" s="7" t="inlineStr">
        <is>
          <t>Chỉ cho phép tài xế có đào tạo Hub Tân Bình vội đơn</t>
        </is>
      </c>
      <c r="I7" s="7" t="inlineStr">
        <is>
          <t>2026-08-01 đến 2026-10-31</t>
        </is>
      </c>
      <c r="J7" s="6" t="inlineStr">
        <is>
          <t>Trần Lead DM</t>
        </is>
      </c>
      <c r="K7" s="6" t="inlineStr">
        <is>
          <t>2026-07-27 16:00</t>
        </is>
      </c>
      <c r="L7" s="10" t="inlineStr">
        <is>
          <t>REJECTED</t>
        </is>
      </c>
      <c r="M7" s="7" t="inlineStr">
        <is>
          <t>Danh sách TX thiếu bằng chứng qua lớp đào tạo</t>
        </is>
      </c>
      <c r="N7" s="7" t="inlineStr">
        <is>
          <t>N/A</t>
        </is>
      </c>
      <c r="O7" s="6" t="inlineStr">
        <is>
          <t>CANCELLED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N/A</t>
        </is>
      </c>
      <c r="S7" s="6" t="inlineStr">
        <is>
          <t>-</t>
        </is>
      </c>
      <c r="T7" s="8" t="n">
        <v>0</v>
      </c>
      <c r="U7" s="7" t="inlineStr">
        <is>
          <t>Yêu cầu bị DM từ chối</t>
        </is>
      </c>
    </row>
    <row r="8" ht="22" customHeight="1">
      <c r="A8" s="6" t="inlineStr">
        <is>
          <t>REQ-2026-004</t>
        </is>
      </c>
      <c r="B8" s="6" t="inlineStr">
        <is>
          <t>2026-07-28 08:45</t>
        </is>
      </c>
      <c r="C8" s="7" t="inlineStr">
        <is>
          <t>Customer Service</t>
        </is>
      </c>
      <c r="D8" s="7" t="inlineStr">
        <is>
          <t>Đỗ Thị D</t>
        </is>
      </c>
      <c r="E8" s="7" t="inlineStr">
        <is>
          <t>Special Training</t>
        </is>
      </c>
      <c r="F8" s="7" t="inlineStr">
        <is>
          <t>TAG_CS_VIP_HANDLING</t>
        </is>
      </c>
      <c r="G8" s="8" t="n">
        <v>30</v>
      </c>
      <c r="H8" s="7" t="inlineStr">
        <is>
          <t>Tài xế chuyên xử lý đơn VIP hàng giá trị cao</t>
        </is>
      </c>
      <c r="I8" s="7" t="inlineStr">
        <is>
          <t>Dài hạn</t>
        </is>
      </c>
      <c r="J8" s="6" t="inlineStr">
        <is>
          <t>Trần Lead DM</t>
        </is>
      </c>
      <c r="K8" s="6" t="inlineStr">
        <is>
          <t>2026-07-28 10:00</t>
        </is>
      </c>
      <c r="L8" s="9" t="inlineStr">
        <is>
          <t>APPROVED</t>
        </is>
      </c>
      <c r="M8" s="7" t="inlineStr">
        <is>
          <t>CS đã duyệt danh sách 30 tài xế chuẩn 5 sao</t>
        </is>
      </c>
      <c r="N8" s="7" t="inlineStr">
        <is>
          <t>DM_TAG_CS_VIP_5STAR</t>
        </is>
      </c>
      <c r="O8" s="6" t="inlineStr">
        <is>
          <t>READY_FOR_QM</t>
        </is>
      </c>
      <c r="P8" s="6" t="inlineStr">
        <is>
          <t>Vũ QM Spec</t>
        </is>
      </c>
      <c r="Q8" s="6" t="inlineStr">
        <is>
          <t>2026-07-28 10:30</t>
        </is>
      </c>
      <c r="R8" s="11" t="inlineStr">
        <is>
          <t>PROCESSING</t>
        </is>
      </c>
      <c r="S8" s="6" t="inlineStr">
        <is>
          <t>-</t>
        </is>
      </c>
      <c r="T8" s="8" t="n">
        <v>0</v>
      </c>
      <c r="U8" s="7" t="inlineStr">
        <is>
          <t>Đang kiểm tra tool add tag hệ thống</t>
        </is>
      </c>
    </row>
    <row r="9" ht="22" customHeight="1">
      <c r="A9" s="6" t="inlineStr">
        <is>
          <t>REQ-2026-005</t>
        </is>
      </c>
      <c r="B9" s="6" t="inlineStr">
        <is>
          <t>2026-07-29 09:30</t>
        </is>
      </c>
      <c r="C9" s="7" t="inlineStr">
        <is>
          <t>Risk Management</t>
        </is>
      </c>
      <c r="D9" s="7" t="inlineStr">
        <is>
          <t>Vũ Văn E</t>
        </is>
      </c>
      <c r="E9" s="7" t="inlineStr">
        <is>
          <t>Penalty / Block</t>
        </is>
      </c>
      <c r="F9" s="7" t="inlineStr">
        <is>
          <t>TAG_RISK_SUSPEND_HUB</t>
        </is>
      </c>
      <c r="G9" s="8" t="n">
        <v>12</v>
      </c>
      <c r="H9" s="7" t="inlineStr">
        <is>
          <t>Tài xế dấu hiệu gian lận Hub offload</t>
        </is>
      </c>
      <c r="I9" s="7" t="inlineStr">
        <is>
          <t>2026-07-29 đến khi có thông báo</t>
        </is>
      </c>
      <c r="J9" s="6" t="inlineStr">
        <is>
          <t>Trần Lead DM</t>
        </is>
      </c>
      <c r="K9" s="6" t="inlineStr">
        <is>
          <t>2026-07-29 10:00</t>
        </is>
      </c>
      <c r="L9" s="12" t="inlineStr">
        <is>
          <t>PENDING</t>
        </is>
      </c>
      <c r="M9" s="7" t="inlineStr">
        <is>
          <t>Đang chờ BI kiểm tra logs GPS</t>
        </is>
      </c>
      <c r="N9" s="7" t="inlineStr">
        <is>
          <t>-</t>
        </is>
      </c>
      <c r="O9" s="6" t="inlineStr">
        <is>
          <t>HOLD</t>
        </is>
      </c>
      <c r="P9" s="6" t="inlineStr">
        <is>
          <t>-</t>
        </is>
      </c>
      <c r="Q9" s="6" t="inlineStr">
        <is>
          <t>-</t>
        </is>
      </c>
      <c r="R9" s="12" t="inlineStr">
        <is>
          <t>PENDING_QM</t>
        </is>
      </c>
      <c r="S9" s="6" t="inlineStr">
        <is>
          <t>-</t>
        </is>
      </c>
      <c r="T9" s="8" t="n">
        <v>0</v>
      </c>
      <c r="U9" s="7" t="inlineStr">
        <is>
          <t>Chờ DM duyệt xong</t>
        </is>
      </c>
    </row>
  </sheetData>
  <mergeCells count="2">
    <mergeCell ref="A1:U1"/>
    <mergeCell ref="A2:U2"/>
  </mergeCells>
  <dataValidations count="5">
    <dataValidation sqref="C5:C500" showDropDown="0" showInputMessage="0" showErrorMessage="0" allowBlank="1" type="list">
      <formula1>"Business Ops, Marketing, Hub Operations, Customer Service, Risk Management, Fleet Management"</formula1>
    </dataValidation>
    <dataValidation sqref="E5:E500" showDropDown="0" showInputMessage="0" showErrorMessage="0" allowBlank="1" type="list">
      <formula1>"Priority Dispatch, Incentive Campaign, Area Restriction, Special Training, Penalty / Block, Account Governance"</formula1>
    </dataValidation>
    <dataValidation sqref="L5:L500" showDropDown="0" showInputMessage="0" showErrorMessage="0" allowBlank="1" type="list">
      <formula1>"APPROVED, REJECTED, PENDING, NEED_MORE_INFO"</formula1>
    </dataValidation>
    <dataValidation sqref="O5:O500" showDropDown="0" showInputMessage="0" showErrorMessage="0" allowBlank="1" type="list">
      <formula1>"READY_FOR_QM, HOLD, CANCELLED"</formula1>
    </dataValidation>
    <dataValidation sqref="R5:R500" showDropDown="0" showInputMessage="0" showErrorMessage="0" allowBlank="1" type="list">
      <formula1>"PENDING_QM, PROCESSING, TAGGED_SUCCESS, PARTIAL_SUCCESS, FAILED, 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0" customWidth="1" min="4" max="4"/>
    <col width="15" customWidth="1" min="5" max="5"/>
    <col width="17" customWidth="1" min="6" max="6"/>
    <col width="48" customWidth="1" min="7" max="7"/>
    <col width="26" customWidth="1" min="8" max="8"/>
    <col width="16" customWidth="1" min="9" max="9"/>
    <col width="19" customWidth="1" min="10" max="10"/>
    <col width="34" customWidth="1" min="11" max="11"/>
    <col width="20" customWidth="1" min="12" max="12"/>
    <col width="48" customWidth="1" min="13" max="13"/>
  </cols>
  <sheetData>
    <row r="1">
      <c r="A1" s="1" t="inlineStr">
        <is>
          <t>BÀN TRÒN KIỂM DUYỆT CỦA DM LEAD (DM REVIEW &amp; ENRICHMENT CONSOLE)</t>
        </is>
      </c>
    </row>
    <row r="2">
      <c r="A2" s="2" t="inlineStr">
        <is>
          <t>Dành riêng cho Lead DM để Thẩm định Yêu cầu, Kiểm tra Fraud/Policy &amp; Gán Mã Tag Chuẩn trước khi gửi QM</t>
        </is>
      </c>
    </row>
    <row r="3"/>
    <row r="4" ht="28" customHeight="1">
      <c r="A4" s="4" t="inlineStr">
        <is>
          <t>Mã Request</t>
        </is>
      </c>
      <c r="B4" s="4" t="inlineStr">
        <is>
          <t>Ngày Tạo</t>
        </is>
      </c>
      <c r="C4" s="4" t="inlineStr">
        <is>
          <t>Team Yêu Cầu</t>
        </is>
      </c>
      <c r="D4" s="4" t="inlineStr">
        <is>
          <t>Tên Tag Yêu Cầu</t>
        </is>
      </c>
      <c r="E4" s="4" t="inlineStr">
        <is>
          <t>Số Lượng TX</t>
        </is>
      </c>
      <c r="F4" s="4" t="inlineStr">
        <is>
          <t>Quyết Định DM</t>
        </is>
      </c>
      <c r="G4" s="4" t="inlineStr">
        <is>
          <t>Lý Do / Tiêu Chuẩn Thẩm Định</t>
        </is>
      </c>
      <c r="H4" s="4" t="inlineStr">
        <is>
          <t>DM Tag Code Chuẩn</t>
        </is>
      </c>
      <c r="I4" s="4" t="inlineStr">
        <is>
          <t>Thời Hạn Tag</t>
        </is>
      </c>
      <c r="J4" s="4" t="inlineStr">
        <is>
          <t>Chuyển QM (Y/N)</t>
        </is>
      </c>
      <c r="K4" s="4" t="inlineStr">
        <is>
          <t>Thời Gian Phản Hồi DM (Giờ)</t>
        </is>
      </c>
      <c r="L4" s="4" t="inlineStr">
        <is>
          <t>SLA Review Check</t>
        </is>
      </c>
      <c r="M4" s="4" t="inlineStr">
        <is>
          <t>Ghi Chú DM</t>
        </is>
      </c>
    </row>
    <row r="5" ht="22" customHeight="1">
      <c r="A5" s="6" t="inlineStr">
        <is>
          <t>REQ-2026-001</t>
        </is>
      </c>
      <c r="B5" s="6" t="inlineStr">
        <is>
          <t>2026-07-25 09:00</t>
        </is>
      </c>
      <c r="C5" s="7" t="inlineStr">
        <is>
          <t>Business Ops</t>
        </is>
      </c>
      <c r="D5" s="7" t="inlineStr">
        <is>
          <t>TAG_HUB_LH_OFFLOAD_VIP</t>
        </is>
      </c>
      <c r="E5" s="8" t="n">
        <v>150</v>
      </c>
      <c r="F5" s="6" t="inlineStr">
        <is>
          <t>APPROVED</t>
        </is>
      </c>
      <c r="G5" s="7" t="inlineStr">
        <is>
          <t>TX đạt 98% acceptance rate, không vi phạm</t>
        </is>
      </c>
      <c r="H5" s="7" t="inlineStr">
        <is>
          <t>DM_TAG_HUB_LH_VIP_V1</t>
        </is>
      </c>
      <c r="I5" s="7" t="inlineStr">
        <is>
          <t>30 ngày</t>
        </is>
      </c>
      <c r="J5" s="6" t="inlineStr">
        <is>
          <t>READY_FOR_QM</t>
        </is>
      </c>
      <c r="K5" s="7">
        <f>ROUND((INT(B5)-INT(B5))*24,1)</f>
        <v/>
      </c>
      <c r="L5" s="6" t="inlineStr">
        <is>
          <t>DAT_SLA</t>
        </is>
      </c>
      <c r="M5" s="7" t="inlineStr">
        <is>
          <t>Đã đính kèm file driver ID</t>
        </is>
      </c>
    </row>
    <row r="6" ht="22" customHeight="1">
      <c r="A6" s="6" t="inlineStr">
        <is>
          <t>REQ-2026-002</t>
        </is>
      </c>
      <c r="B6" s="6" t="inlineStr">
        <is>
          <t>2026-07-26 10:15</t>
        </is>
      </c>
      <c r="C6" s="7" t="inlineStr">
        <is>
          <t>Marketing</t>
        </is>
      </c>
      <c r="D6" s="7" t="inlineStr">
        <is>
          <t>TAG_MAR_PEAK_BONUS_20K</t>
        </is>
      </c>
      <c r="E6" s="8" t="n">
        <v>450</v>
      </c>
      <c r="F6" s="6" t="inlineStr">
        <is>
          <t>APPROVED</t>
        </is>
      </c>
      <c r="G6" s="7" t="inlineStr">
        <is>
          <t>Đã xác nhận với BI &amp; Trưởng phòng MKT</t>
        </is>
      </c>
      <c r="H6" s="7" t="inlineStr">
        <is>
          <t>DM_TAG_BONUS_NIGHT_20K</t>
        </is>
      </c>
      <c r="I6" s="7" t="inlineStr">
        <is>
          <t>3 ngày</t>
        </is>
      </c>
      <c r="J6" s="6" t="inlineStr">
        <is>
          <t>READY_FOR_QM</t>
        </is>
      </c>
      <c r="K6" s="7" t="inlineStr">
        <is>
          <t>3.75</t>
        </is>
      </c>
      <c r="L6" s="6" t="inlineStr">
        <is>
          <t>DAT_SLA</t>
        </is>
      </c>
      <c r="M6" s="7" t="inlineStr">
        <is>
          <t>Tài trợ 100% budget Marketing</t>
        </is>
      </c>
    </row>
    <row r="7" ht="22" customHeight="1">
      <c r="A7" s="6" t="inlineStr">
        <is>
          <t>REQ-2026-003</t>
        </is>
      </c>
      <c r="B7" s="6" t="inlineStr">
        <is>
          <t>2026-07-27 14:20</t>
        </is>
      </c>
      <c r="C7" s="7" t="inlineStr">
        <is>
          <t>Hub Operations</t>
        </is>
      </c>
      <c r="D7" s="7" t="inlineStr">
        <is>
          <t>TAG_ZONE_RESTRICT_TAN_BINH</t>
        </is>
      </c>
      <c r="E7" s="8" t="n">
        <v>85</v>
      </c>
      <c r="F7" s="6" t="inlineStr">
        <is>
          <t>REJECTED</t>
        </is>
      </c>
      <c r="G7" s="7" t="inlineStr">
        <is>
          <t>Thiếu danh sách chứng chỉ đào tạo Hub</t>
        </is>
      </c>
      <c r="H7" s="7" t="inlineStr">
        <is>
          <t>N/A</t>
        </is>
      </c>
      <c r="I7" s="7" t="inlineStr">
        <is>
          <t>N/A</t>
        </is>
      </c>
      <c r="J7" s="6" t="inlineStr">
        <is>
          <t>CANCELLED</t>
        </is>
      </c>
      <c r="K7" s="7" t="inlineStr">
        <is>
          <t>1.67</t>
        </is>
      </c>
      <c r="L7" s="6" t="inlineStr">
        <is>
          <t>DAT_SLA</t>
        </is>
      </c>
      <c r="M7" s="7" t="inlineStr">
        <is>
          <t>Yêu cầu Ops gửi lại kèm file PDF kết quả thi</t>
        </is>
      </c>
    </row>
    <row r="8" ht="22" customHeight="1">
      <c r="A8" s="6" t="inlineStr">
        <is>
          <t>REQ-2026-004</t>
        </is>
      </c>
      <c r="B8" s="6" t="inlineStr">
        <is>
          <t>2026-07-28 08:45</t>
        </is>
      </c>
      <c r="C8" s="7" t="inlineStr">
        <is>
          <t>Customer Service</t>
        </is>
      </c>
      <c r="D8" s="7" t="inlineStr">
        <is>
          <t>TAG_CS_VIP_HANDLING</t>
        </is>
      </c>
      <c r="E8" s="8" t="n">
        <v>30</v>
      </c>
      <c r="F8" s="6" t="inlineStr">
        <is>
          <t>APPROVED</t>
        </is>
      </c>
      <c r="G8" s="7" t="inlineStr">
        <is>
          <t>Driver 5-star rating &gt; 4.95</t>
        </is>
      </c>
      <c r="H8" s="7" t="inlineStr">
        <is>
          <t>DM_TAG_CS_VIP_5STAR</t>
        </is>
      </c>
      <c r="I8" s="7" t="inlineStr">
        <is>
          <t>90 ngày</t>
        </is>
      </c>
      <c r="J8" s="6" t="inlineStr">
        <is>
          <t>READY_FOR_QM</t>
        </is>
      </c>
      <c r="K8" s="7" t="inlineStr">
        <is>
          <t>1.25</t>
        </is>
      </c>
      <c r="L8" s="6" t="inlineStr">
        <is>
          <t>DAT_SLA</t>
        </is>
      </c>
      <c r="M8" s="7" t="inlineStr">
        <is>
          <t>Priority tag</t>
        </is>
      </c>
    </row>
    <row r="9" ht="22" customHeight="1">
      <c r="A9" s="6" t="inlineStr">
        <is>
          <t>REQ-2026-005</t>
        </is>
      </c>
      <c r="B9" s="6" t="inlineStr">
        <is>
          <t>2026-07-29 09:30</t>
        </is>
      </c>
      <c r="C9" s="7" t="inlineStr">
        <is>
          <t>Risk Management</t>
        </is>
      </c>
      <c r="D9" s="7" t="inlineStr">
        <is>
          <t>TAG_RISK_SUSPEND_HUB</t>
        </is>
      </c>
      <c r="E9" s="8" t="n">
        <v>12</v>
      </c>
      <c r="F9" s="6" t="inlineStr">
        <is>
          <t>PENDING</t>
        </is>
      </c>
      <c r="G9" s="7" t="inlineStr">
        <is>
          <t>Đang chờ BI extract raw log trùng tọa độ GPS</t>
        </is>
      </c>
      <c r="H9" s="7" t="inlineStr">
        <is>
          <t>-</t>
        </is>
      </c>
      <c r="I9" s="7" t="inlineStr">
        <is>
          <t>14 ngày</t>
        </is>
      </c>
      <c r="J9" s="6" t="inlineStr">
        <is>
          <t>HOLD</t>
        </is>
      </c>
      <c r="K9" s="7" t="inlineStr">
        <is>
          <t>0.5</t>
        </is>
      </c>
      <c r="L9" s="6" t="inlineStr">
        <is>
          <t>DANG_XULY</t>
        </is>
      </c>
      <c r="M9" s="7" t="inlineStr">
        <is>
          <t>Urgent flag từ Risk Team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6" customWidth="1" min="4" max="4"/>
    <col width="23" customWidth="1" min="5" max="5"/>
    <col width="18" customWidth="1" min="6" max="6"/>
    <col width="22" customWidth="1" min="7" max="7"/>
    <col width="20" customWidth="1" min="8" max="8"/>
    <col width="20" customWidth="1" min="9" max="9"/>
    <col width="20" customWidth="1" min="10" max="10"/>
    <col width="43" customWidth="1" min="11" max="11"/>
  </cols>
  <sheetData>
    <row r="1">
      <c r="A1" s="1" t="inlineStr">
        <is>
          <t>DANH SÁCH CHỜ QM THỰC HIỆN ADD TAG (QM EXECUTION QUEUE)</t>
        </is>
      </c>
    </row>
    <row r="2">
      <c r="A2" s="2" t="inlineStr">
        <is>
          <t>Chỉ hiển thị các Yêu cầu ĐÃ ĐƯỢC DM DUYỆT (DM Approved) để QM tiếp nhận và thao tác hệ thống</t>
        </is>
      </c>
    </row>
    <row r="3"/>
    <row r="4" ht="28" customHeight="1">
      <c r="A4" s="5" t="inlineStr">
        <is>
          <t>Mã Request</t>
        </is>
      </c>
      <c r="B4" s="5" t="inlineStr">
        <is>
          <t>Ngày DM Chuyển</t>
        </is>
      </c>
      <c r="C4" s="5" t="inlineStr">
        <is>
          <t>Team Yêu Cầu</t>
        </is>
      </c>
      <c r="D4" s="5" t="inlineStr">
        <is>
          <t>DM Tag Code Chuẩn</t>
        </is>
      </c>
      <c r="E4" s="5" t="inlineStr">
        <is>
          <t>Số Lượng TX Cần Tag</t>
        </is>
      </c>
      <c r="F4" s="5" t="inlineStr">
        <is>
          <t>QM Chuyên Viên</t>
        </is>
      </c>
      <c r="G4" s="5" t="inlineStr">
        <is>
          <t>Trạng Thái Add Tag</t>
        </is>
      </c>
      <c r="H4" s="5" t="inlineStr">
        <is>
          <t>Ngày Hoàn Thành</t>
        </is>
      </c>
      <c r="I4" s="5" t="inlineStr">
        <is>
          <t>Số TX Thành Công</t>
        </is>
      </c>
      <c r="J4" s="5" t="inlineStr">
        <is>
          <t>Tỷ Lệ Thành Công</t>
        </is>
      </c>
      <c r="K4" s="5" t="inlineStr">
        <is>
          <t>QM System Batch Ref / Note</t>
        </is>
      </c>
    </row>
    <row r="5" ht="22" customHeight="1">
      <c r="A5" s="6" t="inlineStr">
        <is>
          <t>REQ-2026-001</t>
        </is>
      </c>
      <c r="B5" s="6" t="inlineStr">
        <is>
          <t>2026-07-25 11:30</t>
        </is>
      </c>
      <c r="C5" s="7" t="inlineStr">
        <is>
          <t>Business Ops</t>
        </is>
      </c>
      <c r="D5" s="7" t="inlineStr">
        <is>
          <t>DM_TAG_HUB_LH_VIP_V1</t>
        </is>
      </c>
      <c r="E5" s="8" t="n">
        <v>150</v>
      </c>
      <c r="F5" s="6" t="inlineStr">
        <is>
          <t>Lê QM Spec</t>
        </is>
      </c>
      <c r="G5" s="6" t="inlineStr">
        <is>
          <t>TAGGED_SUCCESS</t>
        </is>
      </c>
      <c r="H5" s="6" t="inlineStr">
        <is>
          <t>2026-07-25 14:15</t>
        </is>
      </c>
      <c r="I5" s="8" t="n">
        <v>150</v>
      </c>
      <c r="J5" s="13">
        <f>I5/E5</f>
        <v/>
      </c>
      <c r="K5" s="7" t="inlineStr">
        <is>
          <t>BATCH_QM_88412 - Hoàn tất 100%</t>
        </is>
      </c>
    </row>
    <row r="6" ht="22" customHeight="1">
      <c r="A6" s="6" t="inlineStr">
        <is>
          <t>REQ-2026-002</t>
        </is>
      </c>
      <c r="B6" s="6" t="inlineStr">
        <is>
          <t>2026-07-26 14:00</t>
        </is>
      </c>
      <c r="C6" s="7" t="inlineStr">
        <is>
          <t>Marketing</t>
        </is>
      </c>
      <c r="D6" s="7" t="inlineStr">
        <is>
          <t>DM_TAG_BONUS_NIGHT_20K</t>
        </is>
      </c>
      <c r="E6" s="8" t="n">
        <v>450</v>
      </c>
      <c r="F6" s="6" t="inlineStr">
        <is>
          <t>Lê QM Spec</t>
        </is>
      </c>
      <c r="G6" s="6" t="inlineStr">
        <is>
          <t>TAGGED_SUCCESS</t>
        </is>
      </c>
      <c r="H6" s="6" t="inlineStr">
        <is>
          <t>2026-07-26 16:45</t>
        </is>
      </c>
      <c r="I6" s="8" t="n">
        <v>448</v>
      </c>
      <c r="J6" s="13">
        <f>I6/E6</f>
        <v/>
      </c>
      <c r="K6" s="7" t="inlineStr">
        <is>
          <t>BATCH_QM_88425 - 2 TX bị khóa tài khoản</t>
        </is>
      </c>
    </row>
    <row r="7" ht="22" customHeight="1">
      <c r="A7" s="6" t="inlineStr">
        <is>
          <t>REQ-2026-004</t>
        </is>
      </c>
      <c r="B7" s="6" t="inlineStr">
        <is>
          <t>2026-07-28 10:00</t>
        </is>
      </c>
      <c r="C7" s="7" t="inlineStr">
        <is>
          <t>Customer Service</t>
        </is>
      </c>
      <c r="D7" s="7" t="inlineStr">
        <is>
          <t>DM_TAG_CS_VIP_5STAR</t>
        </is>
      </c>
      <c r="E7" s="8" t="n">
        <v>30</v>
      </c>
      <c r="F7" s="6" t="inlineStr">
        <is>
          <t>Vũ QM Spec</t>
        </is>
      </c>
      <c r="G7" s="6" t="inlineStr">
        <is>
          <t>PROCESSING</t>
        </is>
      </c>
      <c r="H7" s="6" t="inlineStr">
        <is>
          <t>-</t>
        </is>
      </c>
      <c r="I7" s="8" t="n">
        <v>0</v>
      </c>
      <c r="J7" s="13">
        <f>I7/E7</f>
        <v/>
      </c>
      <c r="K7" s="7" t="inlineStr">
        <is>
          <t>Đang push qua Tool Admin Portal</t>
        </is>
      </c>
    </row>
    <row r="8" ht="22" customHeight="1">
      <c r="A8" s="6" t="inlineStr">
        <is>
          <t>REQ-2026-006</t>
        </is>
      </c>
      <c r="B8" s="6" t="inlineStr">
        <is>
          <t>2026-07-29 08:30</t>
        </is>
      </c>
      <c r="C8" s="7" t="inlineStr">
        <is>
          <t>Fleet Ops</t>
        </is>
      </c>
      <c r="D8" s="7" t="inlineStr">
        <is>
          <t>DM_TAG_HUB_SOC_NIGHT</t>
        </is>
      </c>
      <c r="E8" s="8" t="n">
        <v>200</v>
      </c>
      <c r="F8" s="6" t="inlineStr">
        <is>
          <t>Phan QM Spec</t>
        </is>
      </c>
      <c r="G8" s="6" t="inlineStr">
        <is>
          <t>PENDING_QM</t>
        </is>
      </c>
      <c r="H8" s="6" t="inlineStr">
        <is>
          <t>-</t>
        </is>
      </c>
      <c r="I8" s="8" t="n">
        <v>0</v>
      </c>
      <c r="J8" s="13">
        <f>I8/E8</f>
        <v/>
      </c>
      <c r="K8" s="7" t="inlineStr">
        <is>
          <t>Mới tiếp nhận từ DM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6" customWidth="1" min="2" max="2"/>
    <col width="22" customWidth="1" min="3" max="3"/>
    <col width="24" customWidth="1" min="4" max="4"/>
    <col width="21" customWidth="1" min="5" max="5"/>
    <col width="46" customWidth="1" min="6" max="6"/>
    <col width="24" customWidth="1" min="7" max="7"/>
  </cols>
  <sheetData>
    <row r="1">
      <c r="A1" s="1" t="inlineStr">
        <is>
          <t>DANH MỤC TAG CHUẨN HOÁ &amp; BÁO CÁO HIỆU SUẤT (KPI METRICS)</t>
        </is>
      </c>
    </row>
    <row r="2"/>
    <row r="3">
      <c r="A3" s="14" t="inlineStr">
        <is>
          <t>📊 TỔNG QUAN HIỆU SUẤT (SUMMARY METRICS)</t>
        </is>
      </c>
    </row>
    <row r="4">
      <c r="A4" s="14" t="inlineStr">
        <is>
          <t>Tổng Số Request Tiếp Nhận:</t>
        </is>
      </c>
      <c r="B4" s="15">
        <f>COUNTA('01_ALL_TAG_REQUESTS'!A5:A500)</f>
        <v/>
      </c>
    </row>
    <row r="5">
      <c r="A5" s="14" t="inlineStr">
        <is>
          <t>Tỷ Lệ DM Duyệt (Approval Rate):</t>
        </is>
      </c>
      <c r="B5" s="16">
        <f>COUNTIF('01_ALL_TAG_REQUESTS'!L5:L500, "APPROVED") / A4</f>
        <v/>
      </c>
    </row>
    <row r="6">
      <c r="A6" s="14" t="inlineStr">
        <is>
          <t>Tỷ Lệ QM Tag Thành Công:</t>
        </is>
      </c>
      <c r="B6" s="16">
        <f>COUNTIF('01_ALL_TAG_REQUESTS'!R5:R500, "TAGGED_SUCCESS") / A4</f>
        <v/>
      </c>
    </row>
    <row r="7">
      <c r="A7" s="14" t="inlineStr">
        <is>
          <t>Thời Gian DM Review Trung Bình (SLA):</t>
        </is>
      </c>
      <c r="B7" s="15" t="inlineStr">
        <is>
          <t>2.1 Giờ (Mục tiêu &lt;= 4h)</t>
        </is>
      </c>
    </row>
    <row r="8">
      <c r="A8" s="14" t="inlineStr">
        <is>
          <t>Thời Gian QM Execution Trung Bình:</t>
        </is>
      </c>
      <c r="B8" s="15" t="inlineStr">
        <is>
          <t>1.8 Giờ (Mục tiêu &lt;= 2h)</t>
        </is>
      </c>
    </row>
    <row r="9"/>
    <row r="10">
      <c r="A10" s="17" t="inlineStr">
        <is>
          <t>📚 TỪ ĐIỂN MÃ TAG HỆ THỐNG (SYSTEM TAG DICTIONARY)</t>
        </is>
      </c>
    </row>
    <row r="11" ht="26" customHeight="1">
      <c r="A11" s="18" t="inlineStr">
        <is>
          <t>Mã Tag (Tag Code)</t>
        </is>
      </c>
      <c r="B11" s="18" t="inlineStr">
        <is>
          <t>Tên Tag Hiển Thị</t>
        </is>
      </c>
      <c r="C11" s="18" t="inlineStr">
        <is>
          <t>Nhóm Tag</t>
        </is>
      </c>
      <c r="D11" s="18" t="inlineStr">
        <is>
          <t>Cấp Thẩm Quyền Duyệt</t>
        </is>
      </c>
      <c r="E11" s="18" t="inlineStr">
        <is>
          <t>Thời Hạn Mặc Định</t>
        </is>
      </c>
      <c r="F11" s="18" t="inlineStr">
        <is>
          <t>Mô Tả Mục Đích</t>
        </is>
      </c>
      <c r="G11" s="18" t="inlineStr">
        <is>
          <t>Số Lượng TX Đang Gán</t>
        </is>
      </c>
    </row>
    <row r="12" ht="22" customHeight="1">
      <c r="A12" s="6" t="inlineStr">
        <is>
          <t>DM_TAG_HUB_LH_VIP_V1</t>
        </is>
      </c>
      <c r="B12" s="7" t="inlineStr">
        <is>
          <t>Hub Offload Linehaul VIP</t>
        </is>
      </c>
      <c r="C12" s="6" t="inlineStr">
        <is>
          <t>Priority Dispatch</t>
        </is>
      </c>
      <c r="D12" s="6" t="inlineStr">
        <is>
          <t>DM Lead</t>
        </is>
      </c>
      <c r="E12" s="6" t="inlineStr">
        <is>
          <t>30 ngày</t>
        </is>
      </c>
      <c r="F12" s="7" t="inlineStr">
        <is>
          <t>Ưu tiên gán đơn chạy tuyến SOC Linehaul</t>
        </is>
      </c>
      <c r="G12" s="8" t="n">
        <v>150</v>
      </c>
    </row>
    <row r="13" ht="22" customHeight="1">
      <c r="A13" s="6" t="inlineStr">
        <is>
          <t>DM_TAG_BONUS_NIGHT_20K</t>
        </is>
      </c>
      <c r="B13" s="7" t="inlineStr">
        <is>
          <t>Thưởng Ca Đêm 20k</t>
        </is>
      </c>
      <c r="C13" s="6" t="inlineStr">
        <is>
          <t>Incentive Campaign</t>
        </is>
      </c>
      <c r="D13" s="6" t="inlineStr">
        <is>
          <t>DM Lead + Marketing</t>
        </is>
      </c>
      <c r="E13" s="6" t="inlineStr">
        <is>
          <t>Theo Campaign</t>
        </is>
      </c>
      <c r="F13" s="7" t="inlineStr">
        <is>
          <t>Tài xế tích cực ca 18h-22h</t>
        </is>
      </c>
      <c r="G13" s="8" t="n">
        <v>448</v>
      </c>
    </row>
    <row r="14" ht="22" customHeight="1">
      <c r="A14" s="6" t="inlineStr">
        <is>
          <t>DM_TAG_CS_VIP_5STAR</t>
        </is>
      </c>
      <c r="B14" s="7" t="inlineStr">
        <is>
          <t>Chăm Sóc Khách VIP</t>
        </is>
      </c>
      <c r="C14" s="6" t="inlineStr">
        <is>
          <t>Special Training</t>
        </is>
      </c>
      <c r="D14" s="6" t="inlineStr">
        <is>
          <t>DM Lead + CS Lead</t>
        </is>
      </c>
      <c r="E14" s="6" t="inlineStr">
        <is>
          <t>90 ngày</t>
        </is>
      </c>
      <c r="F14" s="7" t="inlineStr">
        <is>
          <t>Gán đơn cho khách hàng Doanh nghiệp VIP</t>
        </is>
      </c>
      <c r="G14" s="8" t="n">
        <v>30</v>
      </c>
    </row>
    <row r="15" ht="22" customHeight="1">
      <c r="A15" s="6" t="inlineStr">
        <is>
          <t>DM_TAG_ZONE_RESTRICT</t>
        </is>
      </c>
      <c r="B15" s="7" t="inlineStr">
        <is>
          <t>Giới Hạn Vùng Tân Bình</t>
        </is>
      </c>
      <c r="C15" s="6" t="inlineStr">
        <is>
          <t>Area Restriction</t>
        </is>
      </c>
      <c r="D15" s="6" t="inlineStr">
        <is>
          <t>DM Lead + Hub Lead</t>
        </is>
      </c>
      <c r="E15" s="6" t="inlineStr">
        <is>
          <t>60 ngày</t>
        </is>
      </c>
      <c r="F15" s="7" t="inlineStr">
        <is>
          <t>TX hoàn tất bài test điều phối vùng</t>
        </is>
      </c>
      <c r="G15" s="8" t="n">
        <v>0</v>
      </c>
    </row>
    <row r="16" ht="22" customHeight="1">
      <c r="A16" s="6" t="inlineStr">
        <is>
          <t>DM_TAG_RISK_SUSPEND</t>
        </is>
      </c>
      <c r="B16" s="7" t="inlineStr">
        <is>
          <t>Tạm Đình Chỉ Khảo Sát</t>
        </is>
      </c>
      <c r="C16" s="6" t="inlineStr">
        <is>
          <t>Penalty / Block</t>
        </is>
      </c>
      <c r="D16" s="6" t="inlineStr">
        <is>
          <t>DM Lead + Risk Lead</t>
        </is>
      </c>
      <c r="E16" s="6" t="inlineStr">
        <is>
          <t>14 ngày</t>
        </is>
      </c>
      <c r="F16" s="7" t="inlineStr">
        <is>
          <t>TX có nghi vấn vi phạm quy trình giao nhận</t>
        </is>
      </c>
      <c r="G16" s="8" t="n">
        <v>12</v>
      </c>
    </row>
  </sheetData>
  <mergeCells count="2">
    <mergeCell ref="A3:B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2026-07-29T03:29:35Z</dcterms:created>
  <dcterms:modified xmlns:dcterms="http://purl.org/dc/terms/" xmlns:xsi="http://www.w3.org/2001/XMLSchema-instance" xsi:type="dcterms:W3CDTF">2026-07-29T03:29:35Z</dcterms:modified>
</cp:coreProperties>
</file>