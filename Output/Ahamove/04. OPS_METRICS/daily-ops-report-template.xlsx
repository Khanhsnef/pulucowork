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DASHBOARD" sheetId="1" state="visible" r:id="rId1"/>
    <sheet name="INPUT DATA" sheetId="2" state="visible" r:id="rId2"/>
    <sheet name="MTD SUMMARY" sheetId="3" state="visible" r:id="rId3"/>
    <sheet name="GUIDE" sheetId="4" state="visible" r:id="rId4"/>
  </sheets>
  <definedNames>
    <definedName name="_xlnm._FilterDatabase" localSheetId="1" hidden="1">'INPUT DATA'!$A$4:$K$36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DD/MMM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i val="1"/>
      <color rgb="00FF7F32"/>
      <sz val="8"/>
    </font>
    <font>
      <name val="Arial"/>
      <color rgb="001E293B"/>
      <sz val="9"/>
    </font>
    <font>
      <name val="Arial"/>
      <i val="1"/>
      <color rgb="0094A3B8"/>
      <sz val="8"/>
    </font>
    <font>
      <name val="Arial"/>
      <b val="1"/>
      <color rgb="00FFFFFF"/>
      <sz val="20"/>
    </font>
    <font>
      <name val="Arial"/>
      <b val="1"/>
      <color rgb="00FF7F32"/>
      <sz val="14"/>
    </font>
    <font>
      <name val="Arial"/>
      <i val="1"/>
      <color rgb="00AACCEE"/>
      <sz val="10"/>
    </font>
    <font>
      <name val="Arial"/>
      <b val="1"/>
      <color rgb="000E4174"/>
      <sz val="10"/>
    </font>
    <font>
      <name val="Arial"/>
      <b val="1"/>
      <color rgb="0094A3B8"/>
      <sz val="8"/>
    </font>
    <font>
      <name val="Arial"/>
      <b val="1"/>
      <color rgb="000E4174"/>
      <sz val="22"/>
    </font>
    <font>
      <name val="Arial"/>
      <color rgb="0094A3B8"/>
      <sz val="8"/>
    </font>
    <font>
      <name val="Arial"/>
      <b val="1"/>
      <color rgb="0010B981"/>
      <sz val="22"/>
    </font>
    <font>
      <name val="Arial"/>
      <b val="1"/>
      <color rgb="00FF7F32"/>
      <sz val="22"/>
    </font>
    <font>
      <name val="Arial"/>
      <b val="1"/>
      <color rgb="00EF4444"/>
      <sz val="22"/>
    </font>
    <font>
      <name val="Arial"/>
      <b val="1"/>
      <color rgb="001E293B"/>
      <sz val="9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0E4174"/>
      <sz val="10"/>
    </font>
    <font>
      <name val="Arial"/>
      <b val="1"/>
      <color rgb="000E4174"/>
      <sz val="9"/>
    </font>
  </fonts>
  <fills count="7">
    <fill>
      <patternFill/>
    </fill>
    <fill>
      <patternFill patternType="gray125"/>
    </fill>
    <fill>
      <patternFill patternType="solid">
        <fgColor rgb="000E4174"/>
      </patternFill>
    </fill>
    <fill>
      <patternFill patternType="solid">
        <fgColor rgb="00FFF0E6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8EFF8"/>
      </patternFill>
    </fill>
  </fills>
  <borders count="3">
    <border>
      <left/>
      <right/>
      <top/>
      <bottom/>
      <diagonal/>
    </border>
    <border>
      <left style="thin">
        <color rgb="000E4174"/>
      </left>
      <right style="thin">
        <color rgb="000E4174"/>
      </right>
      <top style="thin">
        <color rgb="000E4174"/>
      </top>
      <bottom style="thin">
        <color rgb="000E417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9" fillId="6" borderId="0" applyAlignment="1" pivotButton="0" quotePrefix="0" xfId="0">
      <alignment vertical="center"/>
    </xf>
    <xf numFmtId="0" fontId="0" fillId="6" borderId="0" pivotButton="0" quotePrefix="0" xfId="0"/>
    <xf numFmtId="0" fontId="10" fillId="4" borderId="2" applyAlignment="1" pivotButton="0" quotePrefix="0" xfId="0">
      <alignment horizontal="center" vertical="center"/>
    </xf>
    <xf numFmtId="0" fontId="0" fillId="0" borderId="2" pivotButton="0" quotePrefix="0" xfId="0"/>
    <xf numFmtId="3" fontId="11" fillId="4" borderId="2" applyAlignment="1" pivotButton="0" quotePrefix="0" xfId="0">
      <alignment horizontal="center" vertical="center"/>
    </xf>
    <xf numFmtId="166" fontId="13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3" fontId="14" fillId="4" borderId="2" applyAlignment="1" pivotButton="0" quotePrefix="0" xfId="0">
      <alignment horizontal="center" vertical="center"/>
    </xf>
    <xf numFmtId="3" fontId="13" fillId="4" borderId="2" applyAlignment="1" pivotButton="0" quotePrefix="0" xfId="0">
      <alignment horizontal="center" vertical="center"/>
    </xf>
    <xf numFmtId="166" fontId="15" fillId="4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7" fontId="4" fillId="6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center" vertical="center"/>
    </xf>
    <xf numFmtId="166" fontId="4" fillId="6" borderId="2" applyAlignment="1" pivotButton="0" quotePrefix="0" xfId="0">
      <alignment horizontal="center" vertical="center"/>
    </xf>
    <xf numFmtId="167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49" fontId="4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49" fontId="4" fillId="5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8" fillId="6" borderId="2" applyAlignment="1" pivotButton="0" quotePrefix="0" xfId="0">
      <alignment horizontal="left" vertical="center"/>
    </xf>
    <xf numFmtId="3" fontId="19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166" fontId="19" fillId="6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left" vertical="center"/>
    </xf>
    <xf numFmtId="166" fontId="19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3" fontId="19" fillId="4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left" vertical="center"/>
    </xf>
    <xf numFmtId="3" fontId="20" fillId="5" borderId="2" applyAlignment="1" pivotButton="0" quotePrefix="0" xfId="0">
      <alignment horizontal="center" vertical="center"/>
    </xf>
    <xf numFmtId="166" fontId="20" fillId="5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Arial"/>
        <b val="1"/>
        <color rgb="0010B981"/>
        <sz val="9"/>
      </font>
      <fill>
        <patternFill patternType="solid">
          <fgColor rgb="00E6FAF4"/>
        </patternFill>
      </fill>
    </dxf>
    <dxf>
      <font>
        <name val="Arial"/>
        <b val="1"/>
        <color rgb="00EF4444"/>
        <sz val="9"/>
      </font>
      <fill>
        <patternFill patternType="solid">
          <fgColor rgb="00FEE9E9"/>
        </patternFill>
      </fill>
    </dxf>
    <dxf>
      <font>
        <name val="Arial"/>
        <b val="1"/>
        <color rgb="0010B981"/>
        <sz val="10"/>
      </font>
      <fill>
        <patternFill patternType="solid">
          <fgColor rgb="00E6FAF4"/>
        </patternFill>
      </fill>
    </dxf>
    <dxf>
      <font>
        <name val="Arial"/>
        <b val="1"/>
        <color rgb="00EF4444"/>
        <sz val="10"/>
      </font>
      <fill>
        <patternFill patternType="solid">
          <fgColor rgb="00FEE9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4174"/>
    <outlinePr summaryBelow="1" summaryRight="1"/>
    <pageSetUpPr/>
  </sheetPr>
  <dimension ref="B2:P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  <col width="14" customWidth="1" min="12" max="12"/>
    <col width="14" customWidth="1" min="13" max="13"/>
    <col width="14" customWidth="1" min="14" max="14"/>
    <col width="14" customWidth="1" min="15" max="15"/>
    <col width="3" customWidth="1" min="16" max="16"/>
  </cols>
  <sheetData>
    <row r="1" ht="8" customHeight="1"/>
    <row r="2" ht="40" customHeight="1">
      <c r="B2" s="1" t="inlineStr">
        <is>
          <t>AHAMOVE — DAILY OPS REPORT</t>
        </is>
      </c>
      <c r="K2" s="2">
        <f>TEXT(TODAY(),"DD/MM/YYYY")</f>
        <v/>
      </c>
    </row>
    <row r="3" ht="22" customHeight="1">
      <c r="B3" s="3" t="inlineStr">
        <is>
          <t>Driver Management  |  Bike Instant Segment  |  HCM  HAN  DAN</t>
        </is>
      </c>
    </row>
    <row r="4" ht="10" customHeight="1"/>
    <row r="5" ht="22" customHeight="1">
      <c r="B5" s="4" t="inlineStr">
        <is>
          <t xml:space="preserve">  TODAY'S KPI SNAPSHOT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20" customHeight="1">
      <c r="B6" s="6" t="inlineStr">
        <is>
          <t>ORDERS COMPLETED</t>
        </is>
      </c>
      <c r="C6" s="7" t="n"/>
      <c r="D6" s="7" t="n"/>
      <c r="F6" s="6" t="inlineStr">
        <is>
          <t>ACCEPTANCE RATE</t>
        </is>
      </c>
      <c r="G6" s="7" t="n"/>
      <c r="H6" s="7" t="n"/>
      <c r="J6" s="6" t="inlineStr">
        <is>
          <t>FULFILLMENT RATE</t>
        </is>
      </c>
      <c r="K6" s="7" t="n"/>
      <c r="L6" s="7" t="n"/>
      <c r="N6" s="6" t="inlineStr">
        <is>
          <t>DRIVERS ONLINE</t>
        </is>
      </c>
      <c r="O6" s="7" t="n"/>
      <c r="P6" s="7" t="n"/>
    </row>
    <row r="7" ht="32" customHeight="1">
      <c r="B7" s="8">
        <f>'INPUT DATA'!B35</f>
        <v/>
      </c>
      <c r="C7" s="7" t="n"/>
      <c r="D7" s="7" t="n"/>
      <c r="F7" s="9">
        <f>'INPUT DATA'!C35</f>
        <v/>
      </c>
      <c r="G7" s="7" t="n"/>
      <c r="H7" s="7" t="n"/>
      <c r="J7" s="9">
        <f>'INPUT DATA'!D35</f>
        <v/>
      </c>
      <c r="K7" s="7" t="n"/>
      <c r="L7" s="7" t="n"/>
      <c r="N7" s="8">
        <f>'INPUT DATA'!E35</f>
        <v/>
      </c>
      <c r="O7" s="7" t="n"/>
      <c r="P7" s="7" t="n"/>
    </row>
    <row r="8" ht="18" customHeight="1">
      <c r="B8" s="10">
        <f>"vs D-1: "&amp;TEXT('INPUT DATA'!B35-'INPUT DATA'!B34,"#,##0")</f>
        <v/>
      </c>
      <c r="C8" s="7" t="n"/>
      <c r="D8" s="7" t="n"/>
      <c r="F8" s="10" t="inlineStr">
        <is>
          <t>"Target: 85.0%"</t>
        </is>
      </c>
      <c r="G8" s="7" t="n"/>
      <c r="H8" s="7" t="n"/>
      <c r="J8" s="10" t="inlineStr">
        <is>
          <t>"Target: 95.0%"</t>
        </is>
      </c>
      <c r="K8" s="7" t="n"/>
      <c r="L8" s="7" t="n"/>
      <c r="N8" s="10" t="inlineStr">
        <is>
          <t>"Peak Hour Avg"</t>
        </is>
      </c>
      <c r="O8" s="7" t="n"/>
      <c r="P8" s="7" t="n"/>
    </row>
    <row r="9" ht="10" customHeight="1"/>
    <row r="10" ht="20" customHeight="1">
      <c r="B10" s="6" t="inlineStr">
        <is>
          <t>CPO (VND)</t>
        </is>
      </c>
      <c r="C10" s="7" t="n"/>
      <c r="D10" s="7" t="n"/>
      <c r="F10" s="6" t="inlineStr">
        <is>
          <t>INCENTIVE SPEND (K VND)</t>
        </is>
      </c>
      <c r="G10" s="7" t="n"/>
      <c r="H10" s="7" t="n"/>
      <c r="J10" s="6" t="inlineStr">
        <is>
          <t>NEW DRIVERS</t>
        </is>
      </c>
      <c r="K10" s="7" t="n"/>
      <c r="L10" s="7" t="n"/>
      <c r="N10" s="6" t="inlineStr">
        <is>
          <t>SLA BREACH RATE</t>
        </is>
      </c>
      <c r="O10" s="7" t="n"/>
      <c r="P10" s="7" t="n"/>
    </row>
    <row r="11" ht="32" customHeight="1">
      <c r="B11" s="11">
        <f>'INPUT DATA'!F35</f>
        <v/>
      </c>
      <c r="C11" s="7" t="n"/>
      <c r="D11" s="7" t="n"/>
      <c r="F11" s="11">
        <f>IFERROR('INPUT DATA'!G35/1000,0)</f>
        <v/>
      </c>
      <c r="G11" s="7" t="n"/>
      <c r="H11" s="7" t="n"/>
      <c r="J11" s="12">
        <f>'INPUT DATA'!H35</f>
        <v/>
      </c>
      <c r="K11" s="7" t="n"/>
      <c r="L11" s="7" t="n"/>
      <c r="N11" s="13">
        <f>'INPUT DATA'!I35</f>
        <v/>
      </c>
      <c r="O11" s="7" t="n"/>
      <c r="P11" s="7" t="n"/>
    </row>
    <row r="12" ht="18" customHeight="1">
      <c r="B12" s="10" t="inlineStr">
        <is>
          <t>"vs Budget"</t>
        </is>
      </c>
      <c r="C12" s="7" t="n"/>
      <c r="D12" s="7" t="n"/>
      <c r="F12" s="10" t="inlineStr">
        <is>
          <t>"Daily Spend"</t>
        </is>
      </c>
      <c r="G12" s="7" t="n"/>
      <c r="H12" s="7" t="n"/>
      <c r="J12" s="10" t="inlineStr">
        <is>
          <t>"Daily Registration"</t>
        </is>
      </c>
      <c r="K12" s="7" t="n"/>
      <c r="L12" s="7" t="n"/>
      <c r="N12" s="10" t="inlineStr">
        <is>
          <t>"Target: &lt; 5.0%"</t>
        </is>
      </c>
      <c r="O12" s="7" t="n"/>
      <c r="P12" s="7" t="n"/>
    </row>
    <row r="13" ht="10" customHeight="1"/>
    <row r="14" ht="22" customHeight="1">
      <c r="B14" s="4" t="inlineStr">
        <is>
          <t xml:space="preserve">  7-DAY TREND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22" customHeight="1">
      <c r="B15" s="14" t="inlineStr">
        <is>
          <t>Date</t>
        </is>
      </c>
      <c r="C15" s="14" t="inlineStr">
        <is>
          <t>Orders</t>
        </is>
      </c>
      <c r="D15" s="14" t="inlineStr">
        <is>
          <t>AR %</t>
        </is>
      </c>
      <c r="E15" s="14" t="inlineStr">
        <is>
          <t>FR %</t>
        </is>
      </c>
      <c r="F15" s="14" t="inlineStr">
        <is>
          <t>Drivers Online</t>
        </is>
      </c>
      <c r="G15" s="14" t="inlineStr">
        <is>
          <t>CPO (VND)</t>
        </is>
      </c>
      <c r="H15" s="14" t="inlineStr">
        <is>
          <t>Incentive (K)</t>
        </is>
      </c>
      <c r="I15" s="14" t="inlineStr">
        <is>
          <t>New Drivers</t>
        </is>
      </c>
      <c r="J15" s="14" t="inlineStr">
        <is>
          <t>SLA Breach %</t>
        </is>
      </c>
      <c r="K15" s="14" t="inlineStr">
        <is>
          <t>Churn %</t>
        </is>
      </c>
    </row>
    <row r="16" ht="18" customHeight="1">
      <c r="B16" s="15">
        <f>'INPUT DATA'!A29</f>
        <v/>
      </c>
      <c r="C16" s="16">
        <f>'INPUT DATA'!B29</f>
        <v/>
      </c>
      <c r="D16" s="17">
        <f>'INPUT DATA'!C29</f>
        <v/>
      </c>
      <c r="E16" s="17">
        <f>'INPUT DATA'!D29</f>
        <v/>
      </c>
      <c r="F16" s="16">
        <f>'INPUT DATA'!E29</f>
        <v/>
      </c>
      <c r="G16" s="16">
        <f>'INPUT DATA'!F29</f>
        <v/>
      </c>
      <c r="H16" s="16">
        <f>IFERROR('INPUT DATA'!G29/1000,0)</f>
        <v/>
      </c>
      <c r="I16" s="16">
        <f>'INPUT DATA'!H29</f>
        <v/>
      </c>
      <c r="J16" s="17">
        <f>'INPUT DATA'!I29</f>
        <v/>
      </c>
      <c r="K16" s="17">
        <f>'INPUT DATA'!J29</f>
        <v/>
      </c>
    </row>
    <row r="17" ht="18" customHeight="1">
      <c r="B17" s="18">
        <f>'INPUT DATA'!A30</f>
        <v/>
      </c>
      <c r="C17" s="19">
        <f>'INPUT DATA'!B30</f>
        <v/>
      </c>
      <c r="D17" s="20">
        <f>'INPUT DATA'!C30</f>
        <v/>
      </c>
      <c r="E17" s="20">
        <f>'INPUT DATA'!D30</f>
        <v/>
      </c>
      <c r="F17" s="19">
        <f>'INPUT DATA'!E30</f>
        <v/>
      </c>
      <c r="G17" s="19">
        <f>'INPUT DATA'!F30</f>
        <v/>
      </c>
      <c r="H17" s="19">
        <f>IFERROR('INPUT DATA'!G30/1000,0)</f>
        <v/>
      </c>
      <c r="I17" s="19">
        <f>'INPUT DATA'!H30</f>
        <v/>
      </c>
      <c r="J17" s="20">
        <f>'INPUT DATA'!I30</f>
        <v/>
      </c>
      <c r="K17" s="20">
        <f>'INPUT DATA'!J30</f>
        <v/>
      </c>
    </row>
    <row r="18" ht="18" customHeight="1">
      <c r="B18" s="15">
        <f>'INPUT DATA'!A31</f>
        <v/>
      </c>
      <c r="C18" s="16">
        <f>'INPUT DATA'!B31</f>
        <v/>
      </c>
      <c r="D18" s="17">
        <f>'INPUT DATA'!C31</f>
        <v/>
      </c>
      <c r="E18" s="17">
        <f>'INPUT DATA'!D31</f>
        <v/>
      </c>
      <c r="F18" s="16">
        <f>'INPUT DATA'!E31</f>
        <v/>
      </c>
      <c r="G18" s="16">
        <f>'INPUT DATA'!F31</f>
        <v/>
      </c>
      <c r="H18" s="16">
        <f>IFERROR('INPUT DATA'!G31/1000,0)</f>
        <v/>
      </c>
      <c r="I18" s="16">
        <f>'INPUT DATA'!H31</f>
        <v/>
      </c>
      <c r="J18" s="17">
        <f>'INPUT DATA'!I31</f>
        <v/>
      </c>
      <c r="K18" s="17">
        <f>'INPUT DATA'!J31</f>
        <v/>
      </c>
    </row>
    <row r="19" ht="18" customHeight="1">
      <c r="B19" s="18">
        <f>'INPUT DATA'!A32</f>
        <v/>
      </c>
      <c r="C19" s="19">
        <f>'INPUT DATA'!B32</f>
        <v/>
      </c>
      <c r="D19" s="20">
        <f>'INPUT DATA'!C32</f>
        <v/>
      </c>
      <c r="E19" s="20">
        <f>'INPUT DATA'!D32</f>
        <v/>
      </c>
      <c r="F19" s="19">
        <f>'INPUT DATA'!E32</f>
        <v/>
      </c>
      <c r="G19" s="19">
        <f>'INPUT DATA'!F32</f>
        <v/>
      </c>
      <c r="H19" s="19">
        <f>IFERROR('INPUT DATA'!G32/1000,0)</f>
        <v/>
      </c>
      <c r="I19" s="19">
        <f>'INPUT DATA'!H32</f>
        <v/>
      </c>
      <c r="J19" s="20">
        <f>'INPUT DATA'!I32</f>
        <v/>
      </c>
      <c r="K19" s="20">
        <f>'INPUT DATA'!J32</f>
        <v/>
      </c>
    </row>
    <row r="20" ht="18" customHeight="1">
      <c r="B20" s="15">
        <f>'INPUT DATA'!A33</f>
        <v/>
      </c>
      <c r="C20" s="16">
        <f>'INPUT DATA'!B33</f>
        <v/>
      </c>
      <c r="D20" s="17">
        <f>'INPUT DATA'!C33</f>
        <v/>
      </c>
      <c r="E20" s="17">
        <f>'INPUT DATA'!D33</f>
        <v/>
      </c>
      <c r="F20" s="16">
        <f>'INPUT DATA'!E33</f>
        <v/>
      </c>
      <c r="G20" s="16">
        <f>'INPUT DATA'!F33</f>
        <v/>
      </c>
      <c r="H20" s="16">
        <f>IFERROR('INPUT DATA'!G33/1000,0)</f>
        <v/>
      </c>
      <c r="I20" s="16">
        <f>'INPUT DATA'!H33</f>
        <v/>
      </c>
      <c r="J20" s="17">
        <f>'INPUT DATA'!I33</f>
        <v/>
      </c>
      <c r="K20" s="17">
        <f>'INPUT DATA'!J33</f>
        <v/>
      </c>
    </row>
    <row r="21" ht="18" customHeight="1">
      <c r="B21" s="18">
        <f>'INPUT DATA'!A34</f>
        <v/>
      </c>
      <c r="C21" s="19">
        <f>'INPUT DATA'!B34</f>
        <v/>
      </c>
      <c r="D21" s="20">
        <f>'INPUT DATA'!C34</f>
        <v/>
      </c>
      <c r="E21" s="20">
        <f>'INPUT DATA'!D34</f>
        <v/>
      </c>
      <c r="F21" s="19">
        <f>'INPUT DATA'!E34</f>
        <v/>
      </c>
      <c r="G21" s="19">
        <f>'INPUT DATA'!F34</f>
        <v/>
      </c>
      <c r="H21" s="19">
        <f>IFERROR('INPUT DATA'!G34/1000,0)</f>
        <v/>
      </c>
      <c r="I21" s="19">
        <f>'INPUT DATA'!H34</f>
        <v/>
      </c>
      <c r="J21" s="20">
        <f>'INPUT DATA'!I34</f>
        <v/>
      </c>
      <c r="K21" s="20">
        <f>'INPUT DATA'!J34</f>
        <v/>
      </c>
    </row>
    <row r="22" ht="18" customHeight="1">
      <c r="B22" s="15">
        <f>'INPUT DATA'!A35</f>
        <v/>
      </c>
      <c r="C22" s="16">
        <f>'INPUT DATA'!B35</f>
        <v/>
      </c>
      <c r="D22" s="17">
        <f>'INPUT DATA'!C35</f>
        <v/>
      </c>
      <c r="E22" s="17">
        <f>'INPUT DATA'!D35</f>
        <v/>
      </c>
      <c r="F22" s="16">
        <f>'INPUT DATA'!E35</f>
        <v/>
      </c>
      <c r="G22" s="16">
        <f>'INPUT DATA'!F35</f>
        <v/>
      </c>
      <c r="H22" s="16">
        <f>IFERROR('INPUT DATA'!G35/1000,0)</f>
        <v/>
      </c>
      <c r="I22" s="16">
        <f>'INPUT DATA'!H35</f>
        <v/>
      </c>
      <c r="J22" s="17">
        <f>'INPUT DATA'!I35</f>
        <v/>
      </c>
      <c r="K22" s="17">
        <f>'INPUT DATA'!J35</f>
        <v/>
      </c>
    </row>
    <row r="23" ht="18" customHeight="1"/>
    <row r="24" ht="18" customHeight="1">
      <c r="B24" s="4" t="inlineStr">
        <is>
          <t xml:space="preserve">  MONTH-TO-DATE SUMMARY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 ht="18" customHeight="1">
      <c r="B25" s="14" t="inlineStr">
        <is>
          <t>Metric</t>
        </is>
      </c>
      <c r="C25" s="14" t="inlineStr">
        <is>
          <t>MTD Actual</t>
        </is>
      </c>
      <c r="D25" s="14" t="inlineStr">
        <is>
          <t>MTD Target</t>
        </is>
      </c>
      <c r="E25" s="14" t="inlineStr">
        <is>
          <t>Achievement %</t>
        </is>
      </c>
      <c r="H25" s="14" t="inlineStr">
        <is>
          <t>Metric</t>
        </is>
      </c>
      <c r="I25" s="14" t="inlineStr">
        <is>
          <t>MTD Actual</t>
        </is>
      </c>
      <c r="J25" s="14" t="inlineStr">
        <is>
          <t>MTD Target</t>
        </is>
      </c>
      <c r="K25" s="14" t="inlineStr">
        <is>
          <t>Achievement %</t>
        </is>
      </c>
    </row>
    <row r="26" ht="18" customHeight="1">
      <c r="B26" s="21" t="inlineStr">
        <is>
          <t>Total Orders</t>
        </is>
      </c>
      <c r="C26" s="22">
        <f>'MTD SUMMARY'!B3</f>
        <v/>
      </c>
      <c r="D26" s="22">
        <f>'MTD SUMMARY'!C3</f>
        <v/>
      </c>
      <c r="E26" s="22">
        <f>'MTD SUMMARY'!D3</f>
        <v/>
      </c>
      <c r="H26" s="21" t="inlineStr">
        <is>
          <t>Avg CPO</t>
        </is>
      </c>
      <c r="I26" s="22">
        <f>'MTD SUMMARY'!B7</f>
        <v/>
      </c>
      <c r="J26" s="22">
        <f>'MTD SUMMARY'!C7</f>
        <v/>
      </c>
      <c r="K26" s="22">
        <f>'MTD SUMMARY'!D7</f>
        <v/>
      </c>
    </row>
    <row r="27" ht="18" customHeight="1">
      <c r="B27" s="23" t="inlineStr">
        <is>
          <t>Avg AR%</t>
        </is>
      </c>
      <c r="C27" s="24">
        <f>'MTD SUMMARY'!B4</f>
        <v/>
      </c>
      <c r="D27" s="24">
        <f>'MTD SUMMARY'!C4</f>
        <v/>
      </c>
      <c r="E27" s="24">
        <f>'MTD SUMMARY'!D4</f>
        <v/>
      </c>
      <c r="H27" s="23" t="inlineStr">
        <is>
          <t>Total Incentive</t>
        </is>
      </c>
      <c r="I27" s="24">
        <f>'MTD SUMMARY'!B8</f>
        <v/>
      </c>
      <c r="J27" s="24">
        <f>'MTD SUMMARY'!C8</f>
        <v/>
      </c>
      <c r="K27" s="24">
        <f>'MTD SUMMARY'!D8</f>
        <v/>
      </c>
    </row>
    <row r="28" ht="18" customHeight="1">
      <c r="B28" s="21" t="inlineStr">
        <is>
          <t>Avg FR%</t>
        </is>
      </c>
      <c r="C28" s="22">
        <f>'MTD SUMMARY'!B5</f>
        <v/>
      </c>
      <c r="D28" s="22">
        <f>'MTD SUMMARY'!C5</f>
        <v/>
      </c>
      <c r="E28" s="22">
        <f>'MTD SUMMARY'!D5</f>
        <v/>
      </c>
      <c r="H28" s="21" t="inlineStr">
        <is>
          <t>Total New Drivers</t>
        </is>
      </c>
      <c r="I28" s="22">
        <f>'MTD SUMMARY'!B9</f>
        <v/>
      </c>
      <c r="J28" s="22">
        <f>'MTD SUMMARY'!C9</f>
        <v/>
      </c>
      <c r="K28" s="22">
        <f>'MTD SUMMARY'!D9</f>
        <v/>
      </c>
    </row>
    <row r="29" ht="18" customHeight="1">
      <c r="B29" s="23" t="inlineStr">
        <is>
          <t>Avg Drivers/Day</t>
        </is>
      </c>
      <c r="C29" s="24">
        <f>'MTD SUMMARY'!B6</f>
        <v/>
      </c>
      <c r="D29" s="24">
        <f>'MTD SUMMARY'!C6</f>
        <v/>
      </c>
      <c r="E29" s="24">
        <f>'MTD SUMMARY'!D6</f>
        <v/>
      </c>
      <c r="H29" s="23" t="inlineStr">
        <is>
          <t>Avg SLA Breach%</t>
        </is>
      </c>
      <c r="I29" s="24">
        <f>'MTD SUMMARY'!B10</f>
        <v/>
      </c>
      <c r="J29" s="24">
        <f>'MTD SUMMARY'!C10</f>
        <v/>
      </c>
      <c r="K29" s="24">
        <f>'MTD SUMMARY'!D10</f>
        <v/>
      </c>
    </row>
    <row r="30" ht="18" customHeight="1"/>
    <row r="31" ht="18" customHeight="1"/>
    <row r="32" ht="18" customHeight="1"/>
    <row r="33" ht="18" customHeight="1"/>
    <row r="34" ht="18" customHeight="1"/>
  </sheetData>
  <mergeCells count="30">
    <mergeCell ref="B11:D11"/>
    <mergeCell ref="J6:L6"/>
    <mergeCell ref="B8:D8"/>
    <mergeCell ref="B14:P14"/>
    <mergeCell ref="F8:H8"/>
    <mergeCell ref="N8:P8"/>
    <mergeCell ref="J11:L11"/>
    <mergeCell ref="J7:L7"/>
    <mergeCell ref="K2:P2"/>
    <mergeCell ref="B10:D10"/>
    <mergeCell ref="N10:P10"/>
    <mergeCell ref="J12:L12"/>
    <mergeCell ref="B6:D6"/>
    <mergeCell ref="N6:P6"/>
    <mergeCell ref="B24:P24"/>
    <mergeCell ref="B5:P5"/>
    <mergeCell ref="J8:L8"/>
    <mergeCell ref="B7:D7"/>
    <mergeCell ref="F11:H11"/>
    <mergeCell ref="N11:P11"/>
    <mergeCell ref="N7:P7"/>
    <mergeCell ref="F10:H10"/>
    <mergeCell ref="F6:H6"/>
    <mergeCell ref="J10:L10"/>
    <mergeCell ref="B3:P3"/>
    <mergeCell ref="F12:H12"/>
    <mergeCell ref="F7:H7"/>
    <mergeCell ref="B12:D12"/>
    <mergeCell ref="N12:P12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7F32"/>
    <outlinePr summaryBelow="1" summaryRight="1"/>
    <pageSetUpPr/>
  </sheetPr>
  <dimension ref="A2:K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22" customWidth="1" min="11" max="11"/>
  </cols>
  <sheetData>
    <row r="1" ht="8" customHeight="1"/>
    <row r="2" ht="36" customHeight="1">
      <c r="A2" s="25" t="inlineStr">
        <is>
          <t>INPUT DATA — DAILY OPS METRICS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</row>
    <row r="3" ht="8" customHeight="1"/>
    <row r="4" ht="28" customHeight="1">
      <c r="A4" s="14" t="inlineStr">
        <is>
          <t>Date</t>
        </is>
      </c>
      <c r="B4" s="14" t="inlineStr">
        <is>
          <t>Orders Completed</t>
        </is>
      </c>
      <c r="C4" s="14" t="inlineStr">
        <is>
          <t>AR (%)</t>
        </is>
      </c>
      <c r="D4" s="14" t="inlineStr">
        <is>
          <t>FR (%)</t>
        </is>
      </c>
      <c r="E4" s="14" t="inlineStr">
        <is>
          <t>Drivers Online</t>
        </is>
      </c>
      <c r="F4" s="14" t="inlineStr">
        <is>
          <t>CPO (VND)</t>
        </is>
      </c>
      <c r="G4" s="14" t="inlineStr">
        <is>
          <t>Incentive Spend (VND)</t>
        </is>
      </c>
      <c r="H4" s="14" t="inlineStr">
        <is>
          <t>New Drivers</t>
        </is>
      </c>
      <c r="I4" s="14" t="inlineStr">
        <is>
          <t>SLA Breach (%)</t>
        </is>
      </c>
      <c r="J4" s="14" t="inlineStr">
        <is>
          <t>Driver Churn (%)</t>
        </is>
      </c>
      <c r="K4" s="14" t="inlineStr">
        <is>
          <t>Notes</t>
        </is>
      </c>
    </row>
    <row r="5" ht="16" customHeight="1">
      <c r="A5" s="27" t="inlineStr">
        <is>
          <t>TARGET -&gt;</t>
        </is>
      </c>
      <c r="B5" s="27" t="inlineStr"/>
      <c r="C5" s="27" t="inlineStr">
        <is>
          <t>85.0%</t>
        </is>
      </c>
      <c r="D5" s="27" t="inlineStr">
        <is>
          <t>95.0%</t>
        </is>
      </c>
      <c r="E5" s="27" t="inlineStr"/>
      <c r="F5" s="27" t="inlineStr">
        <is>
          <t>Budget</t>
        </is>
      </c>
      <c r="G5" s="27" t="inlineStr">
        <is>
          <t>Budget</t>
        </is>
      </c>
      <c r="H5" s="27" t="inlineStr"/>
      <c r="I5" s="27" t="inlineStr">
        <is>
          <t>&lt; 5.0%</t>
        </is>
      </c>
      <c r="J5" s="27" t="inlineStr">
        <is>
          <t>&lt; 3.0%</t>
        </is>
      </c>
      <c r="K5" s="27" t="inlineStr"/>
    </row>
    <row r="6" ht="18" customHeight="1">
      <c r="A6" s="28" t="n">
        <v>46113</v>
      </c>
      <c r="B6" s="19" t="n"/>
      <c r="C6" s="20" t="n"/>
      <c r="D6" s="20" t="n"/>
      <c r="E6" s="19" t="n"/>
      <c r="F6" s="19" t="n"/>
      <c r="G6" s="19" t="n"/>
      <c r="H6" s="19" t="n"/>
      <c r="I6" s="20" t="n"/>
      <c r="J6" s="20" t="n"/>
      <c r="K6" s="29" t="n"/>
    </row>
    <row r="7" ht="18" customHeight="1">
      <c r="A7" s="30" t="n">
        <v>46114</v>
      </c>
      <c r="B7" s="31" t="n"/>
      <c r="C7" s="32" t="n"/>
      <c r="D7" s="32" t="n"/>
      <c r="E7" s="31" t="n"/>
      <c r="F7" s="31" t="n"/>
      <c r="G7" s="31" t="n"/>
      <c r="H7" s="31" t="n"/>
      <c r="I7" s="32" t="n"/>
      <c r="J7" s="32" t="n"/>
      <c r="K7" s="33" t="n"/>
    </row>
    <row r="8" ht="18" customHeight="1">
      <c r="A8" s="28" t="n">
        <v>46115</v>
      </c>
      <c r="B8" s="19" t="n"/>
      <c r="C8" s="20" t="n"/>
      <c r="D8" s="20" t="n"/>
      <c r="E8" s="19" t="n"/>
      <c r="F8" s="19" t="n"/>
      <c r="G8" s="19" t="n"/>
      <c r="H8" s="19" t="n"/>
      <c r="I8" s="20" t="n"/>
      <c r="J8" s="20" t="n"/>
      <c r="K8" s="29" t="n"/>
    </row>
    <row r="9" ht="18" customHeight="1">
      <c r="A9" s="30" t="n">
        <v>46116</v>
      </c>
      <c r="B9" s="31" t="n"/>
      <c r="C9" s="32" t="n"/>
      <c r="D9" s="32" t="n"/>
      <c r="E9" s="31" t="n"/>
      <c r="F9" s="31" t="n"/>
      <c r="G9" s="31" t="n"/>
      <c r="H9" s="31" t="n"/>
      <c r="I9" s="32" t="n"/>
      <c r="J9" s="32" t="n"/>
      <c r="K9" s="33" t="n"/>
    </row>
    <row r="10" ht="18" customHeight="1">
      <c r="A10" s="28" t="n">
        <v>46117</v>
      </c>
      <c r="B10" s="19" t="n"/>
      <c r="C10" s="20" t="n"/>
      <c r="D10" s="20" t="n"/>
      <c r="E10" s="19" t="n"/>
      <c r="F10" s="19" t="n"/>
      <c r="G10" s="19" t="n"/>
      <c r="H10" s="19" t="n"/>
      <c r="I10" s="20" t="n"/>
      <c r="J10" s="20" t="n"/>
      <c r="K10" s="29" t="n"/>
    </row>
    <row r="11" ht="18" customHeight="1">
      <c r="A11" s="30" t="n">
        <v>46118</v>
      </c>
      <c r="B11" s="31" t="n"/>
      <c r="C11" s="32" t="n"/>
      <c r="D11" s="32" t="n"/>
      <c r="E11" s="31" t="n"/>
      <c r="F11" s="31" t="n"/>
      <c r="G11" s="31" t="n"/>
      <c r="H11" s="31" t="n"/>
      <c r="I11" s="32" t="n"/>
      <c r="J11" s="32" t="n"/>
      <c r="K11" s="33" t="n"/>
    </row>
    <row r="12" ht="18" customHeight="1">
      <c r="A12" s="28" t="n">
        <v>46119</v>
      </c>
      <c r="B12" s="19" t="n"/>
      <c r="C12" s="20" t="n"/>
      <c r="D12" s="20" t="n"/>
      <c r="E12" s="19" t="n"/>
      <c r="F12" s="19" t="n"/>
      <c r="G12" s="19" t="n"/>
      <c r="H12" s="19" t="n"/>
      <c r="I12" s="20" t="n"/>
      <c r="J12" s="20" t="n"/>
      <c r="K12" s="29" t="n"/>
    </row>
    <row r="13" ht="18" customHeight="1">
      <c r="A13" s="30" t="n">
        <v>46120</v>
      </c>
      <c r="B13" s="31" t="n"/>
      <c r="C13" s="32" t="n"/>
      <c r="D13" s="32" t="n"/>
      <c r="E13" s="31" t="n"/>
      <c r="F13" s="31" t="n"/>
      <c r="G13" s="31" t="n"/>
      <c r="H13" s="31" t="n"/>
      <c r="I13" s="32" t="n"/>
      <c r="J13" s="32" t="n"/>
      <c r="K13" s="33" t="n"/>
    </row>
    <row r="14" ht="18" customHeight="1">
      <c r="A14" s="28" t="n">
        <v>46121</v>
      </c>
      <c r="B14" s="19" t="n"/>
      <c r="C14" s="20" t="n"/>
      <c r="D14" s="20" t="n"/>
      <c r="E14" s="19" t="n"/>
      <c r="F14" s="19" t="n"/>
      <c r="G14" s="19" t="n"/>
      <c r="H14" s="19" t="n"/>
      <c r="I14" s="20" t="n"/>
      <c r="J14" s="20" t="n"/>
      <c r="K14" s="29" t="n"/>
    </row>
    <row r="15" ht="18" customHeight="1">
      <c r="A15" s="30" t="n">
        <v>46122</v>
      </c>
      <c r="B15" s="31" t="n"/>
      <c r="C15" s="32" t="n"/>
      <c r="D15" s="32" t="n"/>
      <c r="E15" s="31" t="n"/>
      <c r="F15" s="31" t="n"/>
      <c r="G15" s="31" t="n"/>
      <c r="H15" s="31" t="n"/>
      <c r="I15" s="32" t="n"/>
      <c r="J15" s="32" t="n"/>
      <c r="K15" s="33" t="n"/>
    </row>
    <row r="16" ht="18" customHeight="1">
      <c r="A16" s="28" t="n">
        <v>46123</v>
      </c>
      <c r="B16" s="19" t="n"/>
      <c r="C16" s="20" t="n"/>
      <c r="D16" s="20" t="n"/>
      <c r="E16" s="19" t="n"/>
      <c r="F16" s="19" t="n"/>
      <c r="G16" s="19" t="n"/>
      <c r="H16" s="19" t="n"/>
      <c r="I16" s="20" t="n"/>
      <c r="J16" s="20" t="n"/>
      <c r="K16" s="29" t="n"/>
    </row>
    <row r="17" ht="18" customHeight="1">
      <c r="A17" s="30" t="n">
        <v>46124</v>
      </c>
      <c r="B17" s="31" t="n"/>
      <c r="C17" s="32" t="n"/>
      <c r="D17" s="32" t="n"/>
      <c r="E17" s="31" t="n"/>
      <c r="F17" s="31" t="n"/>
      <c r="G17" s="31" t="n"/>
      <c r="H17" s="31" t="n"/>
      <c r="I17" s="32" t="n"/>
      <c r="J17" s="32" t="n"/>
      <c r="K17" s="33" t="n"/>
    </row>
    <row r="18" ht="18" customHeight="1">
      <c r="A18" s="28" t="n">
        <v>46125</v>
      </c>
      <c r="B18" s="19" t="n"/>
      <c r="C18" s="20" t="n"/>
      <c r="D18" s="20" t="n"/>
      <c r="E18" s="19" t="n"/>
      <c r="F18" s="19" t="n"/>
      <c r="G18" s="19" t="n"/>
      <c r="H18" s="19" t="n"/>
      <c r="I18" s="20" t="n"/>
      <c r="J18" s="20" t="n"/>
      <c r="K18" s="29" t="n"/>
    </row>
    <row r="19" ht="18" customHeight="1">
      <c r="A19" s="30" t="n">
        <v>46126</v>
      </c>
      <c r="B19" s="31" t="n"/>
      <c r="C19" s="32" t="n"/>
      <c r="D19" s="32" t="n"/>
      <c r="E19" s="31" t="n"/>
      <c r="F19" s="31" t="n"/>
      <c r="G19" s="31" t="n"/>
      <c r="H19" s="31" t="n"/>
      <c r="I19" s="32" t="n"/>
      <c r="J19" s="32" t="n"/>
      <c r="K19" s="33" t="n"/>
    </row>
    <row r="20" ht="18" customHeight="1">
      <c r="A20" s="28" t="n">
        <v>46127</v>
      </c>
      <c r="B20" s="19" t="n"/>
      <c r="C20" s="20" t="n"/>
      <c r="D20" s="20" t="n"/>
      <c r="E20" s="19" t="n"/>
      <c r="F20" s="19" t="n"/>
      <c r="G20" s="19" t="n"/>
      <c r="H20" s="19" t="n"/>
      <c r="I20" s="20" t="n"/>
      <c r="J20" s="20" t="n"/>
      <c r="K20" s="29" t="n"/>
    </row>
    <row r="21" ht="18" customHeight="1">
      <c r="A21" s="30" t="n">
        <v>46128</v>
      </c>
      <c r="B21" s="31" t="n"/>
      <c r="C21" s="32" t="n"/>
      <c r="D21" s="32" t="n"/>
      <c r="E21" s="31" t="n"/>
      <c r="F21" s="31" t="n"/>
      <c r="G21" s="31" t="n"/>
      <c r="H21" s="31" t="n"/>
      <c r="I21" s="32" t="n"/>
      <c r="J21" s="32" t="n"/>
      <c r="K21" s="33" t="n"/>
    </row>
    <row r="22" ht="18" customHeight="1">
      <c r="A22" s="28" t="n">
        <v>46129</v>
      </c>
      <c r="B22" s="19" t="n"/>
      <c r="C22" s="20" t="n"/>
      <c r="D22" s="20" t="n"/>
      <c r="E22" s="19" t="n"/>
      <c r="F22" s="19" t="n"/>
      <c r="G22" s="19" t="n"/>
      <c r="H22" s="19" t="n"/>
      <c r="I22" s="20" t="n"/>
      <c r="J22" s="20" t="n"/>
      <c r="K22" s="29" t="n"/>
    </row>
    <row r="23" ht="18" customHeight="1">
      <c r="A23" s="30" t="n">
        <v>46130</v>
      </c>
      <c r="B23" s="31" t="n"/>
      <c r="C23" s="32" t="n"/>
      <c r="D23" s="32" t="n"/>
      <c r="E23" s="31" t="n"/>
      <c r="F23" s="31" t="n"/>
      <c r="G23" s="31" t="n"/>
      <c r="H23" s="31" t="n"/>
      <c r="I23" s="32" t="n"/>
      <c r="J23" s="32" t="n"/>
      <c r="K23" s="33" t="n"/>
    </row>
    <row r="24" ht="18" customHeight="1">
      <c r="A24" s="28" t="n">
        <v>46131</v>
      </c>
      <c r="B24" s="19" t="n"/>
      <c r="C24" s="20" t="n"/>
      <c r="D24" s="20" t="n"/>
      <c r="E24" s="19" t="n"/>
      <c r="F24" s="19" t="n"/>
      <c r="G24" s="19" t="n"/>
      <c r="H24" s="19" t="n"/>
      <c r="I24" s="20" t="n"/>
      <c r="J24" s="20" t="n"/>
      <c r="K24" s="29" t="n"/>
    </row>
    <row r="25" ht="18" customHeight="1">
      <c r="A25" s="30" t="n">
        <v>46132</v>
      </c>
      <c r="B25" s="31" t="n"/>
      <c r="C25" s="32" t="n"/>
      <c r="D25" s="32" t="n"/>
      <c r="E25" s="31" t="n"/>
      <c r="F25" s="31" t="n"/>
      <c r="G25" s="31" t="n"/>
      <c r="H25" s="31" t="n"/>
      <c r="I25" s="32" t="n"/>
      <c r="J25" s="32" t="n"/>
      <c r="K25" s="33" t="n"/>
    </row>
    <row r="26" ht="18" customHeight="1">
      <c r="A26" s="28" t="n">
        <v>46133</v>
      </c>
      <c r="B26" s="19" t="n"/>
      <c r="C26" s="20" t="n"/>
      <c r="D26" s="20" t="n"/>
      <c r="E26" s="19" t="n"/>
      <c r="F26" s="19" t="n"/>
      <c r="G26" s="19" t="n"/>
      <c r="H26" s="19" t="n"/>
      <c r="I26" s="20" t="n"/>
      <c r="J26" s="20" t="n"/>
      <c r="K26" s="29" t="n"/>
    </row>
    <row r="27" ht="18" customHeight="1">
      <c r="A27" s="30" t="n">
        <v>46134</v>
      </c>
      <c r="B27" s="31" t="n"/>
      <c r="C27" s="32" t="n"/>
      <c r="D27" s="32" t="n"/>
      <c r="E27" s="31" t="n"/>
      <c r="F27" s="31" t="n"/>
      <c r="G27" s="31" t="n"/>
      <c r="H27" s="31" t="n"/>
      <c r="I27" s="32" t="n"/>
      <c r="J27" s="32" t="n"/>
      <c r="K27" s="33" t="n"/>
    </row>
    <row r="28" ht="18" customHeight="1">
      <c r="A28" s="28" t="n">
        <v>46135</v>
      </c>
      <c r="B28" s="19" t="n"/>
      <c r="C28" s="20" t="n"/>
      <c r="D28" s="20" t="n"/>
      <c r="E28" s="19" t="n"/>
      <c r="F28" s="19" t="n"/>
      <c r="G28" s="19" t="n"/>
      <c r="H28" s="19" t="n"/>
      <c r="I28" s="20" t="n"/>
      <c r="J28" s="20" t="n"/>
      <c r="K28" s="29" t="n"/>
    </row>
    <row r="29" ht="18" customHeight="1">
      <c r="A29" s="30" t="n">
        <v>46136</v>
      </c>
      <c r="B29" s="31" t="n"/>
      <c r="C29" s="32" t="n"/>
      <c r="D29" s="32" t="n"/>
      <c r="E29" s="31" t="n"/>
      <c r="F29" s="31" t="n"/>
      <c r="G29" s="31" t="n"/>
      <c r="H29" s="31" t="n"/>
      <c r="I29" s="32" t="n"/>
      <c r="J29" s="32" t="n"/>
      <c r="K29" s="33" t="n"/>
    </row>
    <row r="30" ht="18" customHeight="1">
      <c r="A30" s="28" t="n">
        <v>46137</v>
      </c>
      <c r="B30" s="19" t="n"/>
      <c r="C30" s="20" t="n"/>
      <c r="D30" s="20" t="n"/>
      <c r="E30" s="19" t="n"/>
      <c r="F30" s="19" t="n"/>
      <c r="G30" s="19" t="n"/>
      <c r="H30" s="19" t="n"/>
      <c r="I30" s="20" t="n"/>
      <c r="J30" s="20" t="n"/>
      <c r="K30" s="29" t="n"/>
    </row>
    <row r="31" ht="18" customHeight="1">
      <c r="A31" s="30" t="n">
        <v>46138</v>
      </c>
      <c r="B31" s="31" t="n"/>
      <c r="C31" s="32" t="n"/>
      <c r="D31" s="32" t="n"/>
      <c r="E31" s="31" t="n"/>
      <c r="F31" s="31" t="n"/>
      <c r="G31" s="31" t="n"/>
      <c r="H31" s="31" t="n"/>
      <c r="I31" s="32" t="n"/>
      <c r="J31" s="32" t="n"/>
      <c r="K31" s="33" t="n"/>
    </row>
    <row r="32" ht="18" customHeight="1">
      <c r="A32" s="28" t="n">
        <v>46139</v>
      </c>
      <c r="B32" s="19" t="n"/>
      <c r="C32" s="20" t="n"/>
      <c r="D32" s="20" t="n"/>
      <c r="E32" s="19" t="n"/>
      <c r="F32" s="19" t="n"/>
      <c r="G32" s="19" t="n"/>
      <c r="H32" s="19" t="n"/>
      <c r="I32" s="20" t="n"/>
      <c r="J32" s="20" t="n"/>
      <c r="K32" s="29" t="n"/>
    </row>
    <row r="33" ht="18" customHeight="1">
      <c r="A33" s="30" t="n">
        <v>46140</v>
      </c>
      <c r="B33" s="31" t="n"/>
      <c r="C33" s="32" t="n"/>
      <c r="D33" s="32" t="n"/>
      <c r="E33" s="31" t="n"/>
      <c r="F33" s="31" t="n"/>
      <c r="G33" s="31" t="n"/>
      <c r="H33" s="31" t="n"/>
      <c r="I33" s="32" t="n"/>
      <c r="J33" s="32" t="n"/>
      <c r="K33" s="33" t="n"/>
    </row>
    <row r="34" ht="18" customHeight="1">
      <c r="A34" s="28" t="n">
        <v>46141</v>
      </c>
      <c r="B34" s="19" t="n"/>
      <c r="C34" s="20" t="n"/>
      <c r="D34" s="20" t="n"/>
      <c r="E34" s="19" t="n"/>
      <c r="F34" s="19" t="n"/>
      <c r="G34" s="19" t="n"/>
      <c r="H34" s="19" t="n"/>
      <c r="I34" s="20" t="n"/>
      <c r="J34" s="20" t="n"/>
      <c r="K34" s="29" t="n"/>
    </row>
    <row r="35" ht="18" customHeight="1">
      <c r="A35" s="30" t="n">
        <v>46142</v>
      </c>
      <c r="B35" s="31" t="n"/>
      <c r="C35" s="32" t="n"/>
      <c r="D35" s="32" t="n"/>
      <c r="E35" s="31" t="n"/>
      <c r="F35" s="31" t="n"/>
      <c r="G35" s="31" t="n"/>
      <c r="H35" s="31" t="n"/>
      <c r="I35" s="32" t="n"/>
      <c r="J35" s="32" t="n"/>
      <c r="K35" s="33" t="n"/>
    </row>
    <row r="36" ht="18" customHeight="1">
      <c r="A36" s="28" t="inlineStr"/>
      <c r="B36" s="19" t="n"/>
      <c r="C36" s="20" t="n"/>
      <c r="D36" s="20" t="n"/>
      <c r="E36" s="19" t="n"/>
      <c r="F36" s="19" t="n"/>
      <c r="G36" s="19" t="n"/>
      <c r="H36" s="19" t="n"/>
      <c r="I36" s="20" t="n"/>
      <c r="J36" s="20" t="n"/>
      <c r="K36" s="29" t="n"/>
    </row>
    <row r="38" ht="8" customHeight="1"/>
    <row r="39" ht="16" customHeight="1">
      <c r="A39" s="34" t="inlineStr">
        <is>
          <t>LEGEND: Green=Met Target | Red=Below Target | CPO: Green(low cost) -&gt; Red(high cost)</t>
        </is>
      </c>
    </row>
    <row r="40" ht="16" customHeight="1">
      <c r="A40" s="34" t="inlineStr">
        <is>
          <t>INPUT: AR% &amp; FR% -&gt; decimal (0.875=87.5%) | CPO &amp; Incentive -&gt; VND integer (e.g. 12500)</t>
        </is>
      </c>
    </row>
  </sheetData>
  <autoFilter ref="A4:K36"/>
  <mergeCells count="3">
    <mergeCell ref="A2:K2"/>
    <mergeCell ref="A39:K39"/>
    <mergeCell ref="A40:K40"/>
  </mergeCells>
  <conditionalFormatting sqref="C6:C36">
    <cfRule type="cellIs" priority="1" operator="greaterThanOrEqual" dxfId="0">
      <formula>0.85</formula>
    </cfRule>
    <cfRule type="cellIs" priority="2" operator="lessThan" dxfId="1">
      <formula>0.85</formula>
    </cfRule>
  </conditionalFormatting>
  <conditionalFormatting sqref="D6:D36">
    <cfRule type="cellIs" priority="3" operator="greaterThanOrEqual" dxfId="0">
      <formula>0.95</formula>
    </cfRule>
    <cfRule type="cellIs" priority="4" operator="lessThan" dxfId="1">
      <formula>0.95</formula>
    </cfRule>
  </conditionalFormatting>
  <conditionalFormatting sqref="I6:I36">
    <cfRule type="cellIs" priority="5" operator="greaterThan" dxfId="1">
      <formula>0.05</formula>
    </cfRule>
    <cfRule type="cellIs" priority="6" operator="lessThanOrEqual" dxfId="0">
      <formula>0.05</formula>
    </cfRule>
  </conditionalFormatting>
  <conditionalFormatting sqref="J6:J36">
    <cfRule type="cellIs" priority="7" operator="greaterThan" dxfId="1">
      <formula>0.03</formula>
    </cfRule>
    <cfRule type="cellIs" priority="8" operator="lessThanOrEqual" dxfId="0">
      <formula>0.03</formula>
    </cfRule>
  </conditionalFormatting>
  <conditionalFormatting sqref="F6:F36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2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6" customWidth="1" min="5" max="5"/>
    <col width="3" customWidth="1" min="6" max="6"/>
  </cols>
  <sheetData>
    <row r="1" ht="8" customHeight="1"/>
    <row r="2" ht="36" customHeight="1">
      <c r="A2" s="25" t="inlineStr">
        <is>
          <t>MTD SUMMARY — AUTO AGGREGATION</t>
        </is>
      </c>
      <c r="B2" s="26" t="n"/>
      <c r="C2" s="26" t="n"/>
      <c r="D2" s="26" t="n"/>
      <c r="E2" s="26" t="n"/>
    </row>
    <row r="3" ht="22" customHeight="1">
      <c r="A3" s="35" t="inlineStr">
        <is>
          <t>Metric</t>
        </is>
      </c>
      <c r="B3" s="35" t="inlineStr">
        <is>
          <t>MTD Actual</t>
        </is>
      </c>
      <c r="C3" s="35" t="inlineStr">
        <is>
          <t>MTD Target</t>
        </is>
      </c>
      <c r="D3" s="35" t="inlineStr">
        <is>
          <t>Achievement %</t>
        </is>
      </c>
      <c r="E3" s="35" t="inlineStr">
        <is>
          <t>Status</t>
        </is>
      </c>
    </row>
    <row r="4" ht="20" customHeight="1">
      <c r="A4" s="36" t="inlineStr">
        <is>
          <t>Total Orders</t>
        </is>
      </c>
      <c r="B4" s="37">
        <f>SUMIF('INPUT DATA'!A6:A36,"&lt;&gt;",'INPUT DATA'!B6:B36)</f>
        <v/>
      </c>
      <c r="C4" s="38" t="inlineStr">
        <is>
          <t>""</t>
        </is>
      </c>
      <c r="D4" s="39" t="inlineStr">
        <is>
          <t>"--"</t>
        </is>
      </c>
      <c r="E4" s="40" t="inlineStr">
        <is>
          <t>"--"</t>
        </is>
      </c>
    </row>
    <row r="5" ht="20" customHeight="1">
      <c r="A5" s="41" t="inlineStr">
        <is>
          <t>Avg Acceptance Rate</t>
        </is>
      </c>
      <c r="B5" s="42">
        <f>AVERAGEIF('INPUT DATA'!B6:B36,"&gt;0",'INPUT DATA'!C6:C36)</f>
        <v/>
      </c>
      <c r="C5" s="42">
        <f>0.85</f>
        <v/>
      </c>
      <c r="D5" s="42">
        <f>IFERROR(B5/C5,"--")</f>
        <v/>
      </c>
      <c r="E5" s="43">
        <f>IF(B5="","--",IF(B5&gt;=C5,"ON TARGET","MISS"))</f>
        <v/>
      </c>
    </row>
    <row r="6" ht="20" customHeight="1">
      <c r="A6" s="36" t="inlineStr">
        <is>
          <t>Avg Fulfillment Rate</t>
        </is>
      </c>
      <c r="B6" s="39">
        <f>AVERAGEIF('INPUT DATA'!B6:B36,"&gt;0",'INPUT DATA'!D6:D36)</f>
        <v/>
      </c>
      <c r="C6" s="39">
        <f>0.95</f>
        <v/>
      </c>
      <c r="D6" s="39">
        <f>IFERROR(B6/C6,"--")</f>
        <v/>
      </c>
      <c r="E6" s="40">
        <f>IF(B6="","--",IF(B6&gt;=C6,"ON TARGET","MISS"))</f>
        <v/>
      </c>
    </row>
    <row r="7" ht="20" customHeight="1">
      <c r="A7" s="41" t="inlineStr">
        <is>
          <t>Avg Drivers / Day</t>
        </is>
      </c>
      <c r="B7" s="44">
        <f>AVERAGEIF('INPUT DATA'!B6:B36,"&gt;0",'INPUT DATA'!E6:E36)</f>
        <v/>
      </c>
      <c r="C7" s="45" t="inlineStr">
        <is>
          <t>""</t>
        </is>
      </c>
      <c r="D7" s="42" t="inlineStr">
        <is>
          <t>"--"</t>
        </is>
      </c>
      <c r="E7" s="43" t="inlineStr">
        <is>
          <t>"--"</t>
        </is>
      </c>
    </row>
    <row r="8" ht="20" customHeight="1">
      <c r="A8" s="36" t="inlineStr">
        <is>
          <t>Avg CPO (VND)</t>
        </is>
      </c>
      <c r="B8" s="37">
        <f>AVERAGEIF('INPUT DATA'!B6:B36,"&gt;0",'INPUT DATA'!F6:F36)</f>
        <v/>
      </c>
      <c r="C8" s="38" t="inlineStr">
        <is>
          <t>""</t>
        </is>
      </c>
      <c r="D8" s="39" t="inlineStr">
        <is>
          <t>"--"</t>
        </is>
      </c>
      <c r="E8" s="40" t="inlineStr">
        <is>
          <t>"--"</t>
        </is>
      </c>
    </row>
    <row r="9" ht="20" customHeight="1">
      <c r="A9" s="41" t="inlineStr">
        <is>
          <t>Total Incentive (VND)</t>
        </is>
      </c>
      <c r="B9" s="44">
        <f>SUMIF('INPUT DATA'!A6:A36,"&lt;&gt;",'INPUT DATA'!G6:G36)</f>
        <v/>
      </c>
      <c r="C9" s="45" t="inlineStr">
        <is>
          <t>""</t>
        </is>
      </c>
      <c r="D9" s="42" t="inlineStr">
        <is>
          <t>"--"</t>
        </is>
      </c>
      <c r="E9" s="43" t="inlineStr">
        <is>
          <t>"--"</t>
        </is>
      </c>
    </row>
    <row r="10" ht="20" customHeight="1">
      <c r="A10" s="36" t="inlineStr">
        <is>
          <t>Total New Drivers</t>
        </is>
      </c>
      <c r="B10" s="37">
        <f>SUMIF('INPUT DATA'!A6:A36,"&lt;&gt;",'INPUT DATA'!H6:H36)</f>
        <v/>
      </c>
      <c r="C10" s="38" t="inlineStr">
        <is>
          <t>""</t>
        </is>
      </c>
      <c r="D10" s="39" t="inlineStr">
        <is>
          <t>"--"</t>
        </is>
      </c>
      <c r="E10" s="40" t="inlineStr">
        <is>
          <t>"--"</t>
        </is>
      </c>
    </row>
    <row r="11" ht="20" customHeight="1">
      <c r="A11" s="41" t="inlineStr">
        <is>
          <t>Avg SLA Breach Rate</t>
        </is>
      </c>
      <c r="B11" s="42">
        <f>AVERAGEIF('INPUT DATA'!B6:B36,"&gt;0",'INPUT DATA'!I6:I36)</f>
        <v/>
      </c>
      <c r="C11" s="42">
        <f>0.05</f>
        <v/>
      </c>
      <c r="D11" s="42">
        <f>IFERROR(B11/C11,"--")</f>
        <v/>
      </c>
      <c r="E11" s="43">
        <f>IF(B11="","--",IF(B11&lt;=C11,"ON TARGET","MISS"))</f>
        <v/>
      </c>
    </row>
    <row r="12" ht="20" customHeight="1">
      <c r="A12" s="36" t="inlineStr">
        <is>
          <t>Avg Driver Churn</t>
        </is>
      </c>
      <c r="B12" s="39">
        <f>AVERAGEIF('INPUT DATA'!B6:B36,"&gt;0",'INPUT DATA'!J6:J36)</f>
        <v/>
      </c>
      <c r="C12" s="39">
        <f>0.03</f>
        <v/>
      </c>
      <c r="D12" s="39">
        <f>IFERROR(B12/C12,"--")</f>
        <v/>
      </c>
      <c r="E12" s="40">
        <f>IF(B12="","--",IF(B12&lt;=C12,"ON TARGET","MISS"))</f>
        <v/>
      </c>
    </row>
    <row r="13" ht="20" customHeight="1">
      <c r="A13" s="41" t="inlineStr">
        <is>
          <t>Days with Data</t>
        </is>
      </c>
      <c r="B13" s="44">
        <f>COUNTIF('INPUT DATA'!B6:B36,"&gt;0")</f>
        <v/>
      </c>
      <c r="C13" s="45" t="inlineStr">
        <is>
          <t>""</t>
        </is>
      </c>
      <c r="D13" s="42" t="inlineStr">
        <is>
          <t>"--"</t>
        </is>
      </c>
      <c r="E13" s="43" t="inlineStr">
        <is>
          <t>"--"</t>
        </is>
      </c>
    </row>
    <row r="15" ht="10" customHeight="1"/>
    <row r="16" ht="22" customHeight="1">
      <c r="A16" s="4" t="inlineStr">
        <is>
          <t xml:space="preserve">  MONTH PROGRESS</t>
        </is>
      </c>
      <c r="B16" s="5" t="n"/>
      <c r="C16" s="5" t="n"/>
      <c r="D16" s="5" t="n"/>
      <c r="E16" s="5" t="n"/>
    </row>
    <row r="17" ht="18" customHeight="1">
      <c r="A17" s="46" t="inlineStr">
        <is>
          <t>Days in Month</t>
        </is>
      </c>
      <c r="B17" s="47">
        <f>DAY(EOMONTH(TODAY(),0))</f>
        <v/>
      </c>
    </row>
    <row r="18" ht="18" customHeight="1">
      <c r="A18" s="46" t="inlineStr">
        <is>
          <t>Days with Data</t>
        </is>
      </c>
      <c r="B18" s="47">
        <f>COUNTIF('INPUT DATA'!B6:B36,"&gt;0")</f>
        <v/>
      </c>
    </row>
    <row r="19" ht="18" customHeight="1">
      <c r="A19" s="46" t="inlineStr">
        <is>
          <t>Month Progress %</t>
        </is>
      </c>
      <c r="B19" s="48">
        <f>IFERROR(B18/B17,0)</f>
        <v/>
      </c>
    </row>
  </sheetData>
  <mergeCells count="2">
    <mergeCell ref="A2:E2"/>
    <mergeCell ref="A16:E16"/>
  </mergeCells>
  <conditionalFormatting sqref="E4:E14">
    <cfRule type="cellIs" priority="1" operator="equal" dxfId="2">
      <formula>"ON TARGET"</formula>
    </cfRule>
    <cfRule type="cellIs" priority="2" operator="equal" dxfId="3">
      <formula>"MISS"</formula>
    </cfRule>
  </conditionalFormatting>
  <conditionalFormatting sqref="D4:D14">
    <cfRule type="colorScale" priority="3">
      <colorScale>
        <cfvo type="num" val="0.7"/>
        <cfvo type="num" val="0.9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4A3B8"/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8" customWidth="1" min="3" max="3"/>
  </cols>
  <sheetData>
    <row r="1" ht="8" customHeight="1"/>
    <row r="2" ht="36" customHeight="1">
      <c r="B2" s="25" t="inlineStr">
        <is>
          <t>HUONG DAN SU DUNG — DAILY OPS REPORT</t>
        </is>
      </c>
      <c r="C2" s="26" t="n"/>
    </row>
    <row r="3" ht="20" customHeight="1">
      <c r="B3" s="49" t="inlineStr">
        <is>
          <t>BUOC SU DUNG</t>
        </is>
      </c>
      <c r="C3" s="49" t="inlineStr"/>
    </row>
    <row r="4" ht="18" customHeight="1">
      <c r="B4" s="50" t="inlineStr">
        <is>
          <t>1. Nhap du lieu</t>
        </is>
      </c>
      <c r="C4" s="50" t="inlineStr">
        <is>
          <t>Mo sheet [INPUT DATA] -&gt; dien so lieu vao cot B-J theo tung ngay trong thang</t>
        </is>
      </c>
    </row>
    <row r="5" ht="18" customHeight="1">
      <c r="B5" s="51" t="inlineStr">
        <is>
          <t>2. AR &amp; FR</t>
        </is>
      </c>
      <c r="C5" s="51" t="inlineStr">
        <is>
          <t>Nhap dang thap phan: 87.5% -&gt; nhap 0.875 | 94% -&gt; nhap 0.94</t>
        </is>
      </c>
    </row>
    <row r="6" ht="18" customHeight="1">
      <c r="B6" s="50" t="inlineStr">
        <is>
          <t>3. CPO &amp; Incentive</t>
        </is>
      </c>
      <c r="C6" s="50" t="inlineStr">
        <is>
          <t>Nhap don vi VND: CPO 12,500 -&gt; nhap 12500 | Incentive 50tr -&gt; nhap 50000000</t>
        </is>
      </c>
    </row>
    <row r="7" ht="18" customHeight="1">
      <c r="B7" s="51" t="inlineStr">
        <is>
          <t>4. Dashboard</t>
        </is>
      </c>
      <c r="C7" s="51" t="inlineStr">
        <is>
          <t>Sheet [DAILY DASHBOARD] tu cap nhat KPI cards + 7-day trend sau khi nhap data</t>
        </is>
      </c>
    </row>
    <row r="8" ht="18" customHeight="1">
      <c r="B8" s="50" t="inlineStr">
        <is>
          <t>5. MTD Check</t>
        </is>
      </c>
      <c r="C8" s="50" t="inlineStr">
        <is>
          <t>Sheet [MTD SUMMARY] tong hop thang hien tai - xem ON TARGET / MISS</t>
        </is>
      </c>
    </row>
    <row r="9" ht="20" customHeight="1">
      <c r="B9" s="49" t="inlineStr">
        <is>
          <t>METRICS GLOSSARY</t>
        </is>
      </c>
      <c r="C9" s="49" t="inlineStr"/>
    </row>
    <row r="10" ht="18" customHeight="1">
      <c r="B10" s="50" t="inlineStr">
        <is>
          <t>AR (Acceptance Rate)</t>
        </is>
      </c>
      <c r="C10" s="50" t="inlineStr">
        <is>
          <t>Ty le tai xe chap nhan don / tong don gui den tai xe. Target: &gt;= 85%</t>
        </is>
      </c>
    </row>
    <row r="11" ht="18" customHeight="1">
      <c r="B11" s="51" t="inlineStr">
        <is>
          <t>FR (Fulfillment Rate)</t>
        </is>
      </c>
      <c r="C11" s="51" t="inlineStr">
        <is>
          <t>Ty le don hoan thanh / tong don duoc nhan. Target: &gt;= 95%</t>
        </is>
      </c>
    </row>
    <row r="12" ht="18" customHeight="1">
      <c r="B12" s="50" t="inlineStr">
        <is>
          <t>Drivers Online</t>
        </is>
      </c>
      <c r="C12" s="50" t="inlineStr">
        <is>
          <t>So tai xe online trung binh trong ngay (nen lay gio cao diem 11h hoac 19h)</t>
        </is>
      </c>
    </row>
    <row r="13" ht="18" customHeight="1">
      <c r="B13" s="51" t="inlineStr">
        <is>
          <t>CPO</t>
        </is>
      </c>
      <c r="C13" s="51" t="inlineStr">
        <is>
          <t>Cost Per Order = Tong Incentive chi ra / So don hoan thanh trong ngay</t>
        </is>
      </c>
    </row>
    <row r="14" ht="18" customHeight="1">
      <c r="B14" s="50" t="inlineStr">
        <is>
          <t>Incentive Spend</t>
        </is>
      </c>
      <c r="C14" s="50" t="inlineStr">
        <is>
          <t>Tong chi phi incentive trong ngay (VND). MTD = kiem soat ngan sach thang</t>
        </is>
      </c>
    </row>
    <row r="15" ht="18" customHeight="1">
      <c r="B15" s="51" t="inlineStr">
        <is>
          <t>New Drivers</t>
        </is>
      </c>
      <c r="C15" s="51" t="inlineStr">
        <is>
          <t>So tai xe moi hoan thanh onboarding &amp; chay don dau tien trong ngay</t>
        </is>
      </c>
    </row>
    <row r="16" ht="18" customHeight="1">
      <c r="B16" s="50" t="inlineStr">
        <is>
          <t>SLA Breach %</t>
        </is>
      </c>
      <c r="C16" s="50" t="inlineStr">
        <is>
          <t>% don giao tre qua SLA cam ket voi merchant. Target: &lt; 5%</t>
        </is>
      </c>
    </row>
    <row r="17" ht="18" customHeight="1">
      <c r="B17" s="51" t="inlineStr">
        <is>
          <t>Driver Churn %</t>
        </is>
      </c>
      <c r="C17" s="51" t="inlineStr">
        <is>
          <t>% tai xe active thang truoc khong con hoat dong thang nay. Target: &lt; 3%</t>
        </is>
      </c>
    </row>
    <row r="18" ht="20" customHeight="1">
      <c r="B18" s="49" t="inlineStr">
        <is>
          <t>CONDITIONAL FORMAT</t>
        </is>
      </c>
      <c r="C18" s="49" t="inlineStr"/>
    </row>
    <row r="19" ht="18" customHeight="1">
      <c r="B19" s="51" t="inlineStr">
        <is>
          <t>Green (AR, FR)</t>
        </is>
      </c>
      <c r="C19" s="51" t="inlineStr">
        <is>
          <t>&gt;= Target - dat chuan van hanh</t>
        </is>
      </c>
    </row>
    <row r="20" ht="18" customHeight="1">
      <c r="B20" s="50" t="inlineStr">
        <is>
          <t>Red (AR, FR)</t>
        </is>
      </c>
      <c r="C20" s="50" t="inlineStr">
        <is>
          <t>&lt; Target - can review &amp; action ngay</t>
        </is>
      </c>
    </row>
    <row r="21" ht="18" customHeight="1">
      <c r="B21" s="51" t="inlineStr">
        <is>
          <t>CPO Heat-map</t>
        </is>
      </c>
      <c r="C21" s="51" t="inlineStr">
        <is>
          <t>Xanh=CPO thap (tot) -&gt; Vang=trung binh -&gt; Do=CPO cao (can kiem soat)</t>
        </is>
      </c>
    </row>
    <row r="22" ht="18" customHeight="1">
      <c r="B22" s="50" t="inlineStr">
        <is>
          <t>Green (SLA, Churn)</t>
        </is>
      </c>
      <c r="C22" s="50" t="inlineStr">
        <is>
          <t>&lt;= Target - duoi nguong canh bao</t>
        </is>
      </c>
    </row>
    <row r="23" ht="18" customHeight="1">
      <c r="B23" s="51" t="inlineStr">
        <is>
          <t>Red (SLA, Churn)</t>
        </is>
      </c>
      <c r="C23" s="51" t="inlineStr">
        <is>
          <t>&gt;Target - vuot nguong, can phan tich root cause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2026-04-23T02:36:53Z</dcterms:created>
  <dcterms:modified xsi:type="dcterms:W3CDTF">2026-04-23T02:36:53Z</dcterms:modified>
</cp:coreProperties>
</file>